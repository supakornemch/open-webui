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haadthipo365-my.sharepoint.com/personal/densri_ka_haadthip_com/Documents/densri.ka/Requirement Chatbot by Procurement 15.7.2026/"/>
    </mc:Choice>
  </mc:AlternateContent>
  <xr:revisionPtr revIDLastSave="0" documentId="8_{2DA3ADC6-D06C-4FE2-B9B9-1E3D62D4EE20}" xr6:coauthVersionLast="47" xr6:coauthVersionMax="47" xr10:uidLastSave="{00000000-0000-0000-0000-000000000000}"/>
  <bookViews>
    <workbookView xWindow="-110" yWindow="-110" windowWidth="19420" windowHeight="11500" firstSheet="6" activeTab="6" xr2:uid="{00000000-000D-0000-FFFF-FFFF00000000}"/>
  </bookViews>
  <sheets>
    <sheet name="1.POSM(MKT)" sheetId="27" r:id="rId1"/>
    <sheet name="2.Printing(MKT)" sheetId="26" r:id="rId2"/>
    <sheet name="3.Garment" sheetId="14" r:id="rId3"/>
    <sheet name="4.สรุปPremium" sheetId="29" r:id="rId4"/>
    <sheet name="5.Printing-Rate1-43" sheetId="25" r:id="rId5"/>
    <sheet name="GVMetadata" sheetId="2" state="veryHidden" r:id="rId6"/>
    <sheet name="5.Printing-Rate44-109" sheetId="24" r:id="rId7"/>
  </sheets>
  <externalReferences>
    <externalReference r:id="rId8"/>
  </externalReferences>
  <definedNames>
    <definedName name="_xlnm._FilterDatabase" localSheetId="0" hidden="1">'1.POSM(MKT)'!$B$2:$C$18</definedName>
    <definedName name="Brand">[1]Guideline!$E$3:$E$11</definedName>
    <definedName name="BudgetType">[1]Guideline!$G$3:$G$5</definedName>
    <definedName name="Dept">[1]Guideline!$D$3:$D$6</definedName>
    <definedName name="Detail">[1]Guideline!$H$3:$H$9</definedName>
    <definedName name="DMEtype">[1]Guideline!$C$3:$C$16</definedName>
    <definedName name="Month">[1]Guideline!$F$3:$F$14</definedName>
    <definedName name="_xlnm.Print_Area" localSheetId="0">'1.POSM(MKT)'!$B$1:$AA$27</definedName>
    <definedName name="_xlnm.Print_Area" localSheetId="1">'2.Printing(MKT)'!$B$1:$U$41</definedName>
    <definedName name="_xlnm.Print_Area" localSheetId="2">'3.Garment'!$B$1:$O$66</definedName>
    <definedName name="_xlnm.Print_Area" localSheetId="3">'4.สรุปPremium'!$B$1:$T$28</definedName>
    <definedName name="_xlnm.Print_Area" localSheetId="4">'5.Printing-Rate1-43'!$B$1:$R$201</definedName>
    <definedName name="_xlnm.Print_Area" localSheetId="6">'5.Printing-Rate44-109'!$A$4:$T$177</definedName>
    <definedName name="_xlnm.Print_Titles" localSheetId="2">'3.Garment'!$1:$2</definedName>
    <definedName name="_xlnm.Print_Titles" localSheetId="3">'4.สรุปPremium'!$2:$2</definedName>
    <definedName name="_xlnm.Print_Titles" localSheetId="4">'5.Printing-Rate1-43'!$1:$2</definedName>
    <definedName name="_xlnm.Print_Titles" localSheetId="6">'5.Printing-Rate44-109'!$5:$5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5" l="1" a="1"/>
  <c r="R4" i="25" s="1"/>
  <c r="R5" i="25" a="1"/>
  <c r="R5" i="25" s="1"/>
  <c r="R6" i="25" a="1"/>
  <c r="R6" i="25"/>
  <c r="R7" i="25" a="1"/>
  <c r="R7" i="25"/>
  <c r="R8" i="25" a="1"/>
  <c r="R8" i="25"/>
  <c r="R9" i="25" a="1"/>
  <c r="R9" i="25"/>
  <c r="R10" i="25" a="1"/>
  <c r="R10" i="25"/>
  <c r="R11" i="25" a="1"/>
  <c r="R11" i="25" s="1"/>
  <c r="R12" i="25" a="1"/>
  <c r="R12" i="25" s="1"/>
  <c r="R13" i="25" a="1"/>
  <c r="R13" i="25"/>
  <c r="R14" i="25" a="1"/>
  <c r="R14" i="25"/>
  <c r="R15" i="25" a="1"/>
  <c r="R15" i="25"/>
  <c r="R16" i="25" a="1"/>
  <c r="R16" i="25"/>
  <c r="R17" i="25" a="1"/>
  <c r="R17" i="25"/>
  <c r="R18" i="25" a="1"/>
  <c r="R18" i="25" s="1"/>
  <c r="R19" i="25" a="1"/>
  <c r="R19" i="25" s="1"/>
  <c r="R20" i="25" a="1"/>
  <c r="R20" i="25"/>
  <c r="R21" i="25" a="1"/>
  <c r="R21" i="25"/>
  <c r="R22" i="25" a="1"/>
  <c r="R22" i="25"/>
  <c r="R23" i="25" a="1"/>
  <c r="R23" i="25"/>
  <c r="R24" i="25" a="1"/>
  <c r="R24" i="25"/>
  <c r="R25" i="25" a="1"/>
  <c r="R25" i="25" s="1"/>
  <c r="R26" i="25" a="1"/>
  <c r="R26" i="25" s="1"/>
  <c r="R27" i="25" a="1"/>
  <c r="R27" i="25"/>
  <c r="R28" i="25" a="1"/>
  <c r="R28" i="25"/>
  <c r="R29" i="25" a="1"/>
  <c r="R29" i="25"/>
  <c r="R30" i="25" a="1"/>
  <c r="R30" i="25"/>
  <c r="R31" i="25" a="1"/>
  <c r="R31" i="25"/>
  <c r="R32" i="25" a="1"/>
  <c r="R32" i="25" s="1"/>
  <c r="R33" i="25" a="1"/>
  <c r="R33" i="25" s="1"/>
  <c r="R34" i="25" a="1"/>
  <c r="R34" i="25"/>
  <c r="R35" i="25" a="1"/>
  <c r="R35" i="25"/>
  <c r="R36" i="25" a="1"/>
  <c r="R36" i="25"/>
  <c r="R37" i="25" a="1"/>
  <c r="R37" i="25"/>
  <c r="R38" i="25" a="1"/>
  <c r="R38" i="25" s="1"/>
  <c r="R39" i="25" a="1"/>
  <c r="R39" i="25" s="1"/>
  <c r="R40" i="25" a="1"/>
  <c r="R40" i="25" s="1"/>
  <c r="R41" i="25" a="1"/>
  <c r="R41" i="25"/>
  <c r="R42" i="25" a="1"/>
  <c r="R42" i="25"/>
  <c r="R43" i="25" a="1"/>
  <c r="R43" i="25"/>
  <c r="R44" i="25" a="1"/>
  <c r="R44" i="25"/>
  <c r="R45" i="25" a="1"/>
  <c r="R45" i="25"/>
  <c r="R46" i="25" a="1"/>
  <c r="R46" i="25" s="1"/>
  <c r="R47" i="25" a="1"/>
  <c r="R47" i="25" s="1"/>
  <c r="R48" i="25" a="1"/>
  <c r="R48" i="25"/>
  <c r="R49" i="25" a="1"/>
  <c r="R49" i="25"/>
  <c r="R50" i="25" a="1"/>
  <c r="R50" i="25"/>
  <c r="R51" i="25" a="1"/>
  <c r="R51" i="25"/>
  <c r="R52" i="25" a="1"/>
  <c r="R52" i="25"/>
  <c r="R53" i="25" a="1"/>
  <c r="R53" i="25" s="1"/>
  <c r="R54" i="25" a="1"/>
  <c r="R54" i="25" s="1"/>
  <c r="R55" i="25" a="1"/>
  <c r="R55" i="25"/>
  <c r="R56" i="25" a="1"/>
  <c r="R56" i="25"/>
  <c r="R57" i="25" a="1"/>
  <c r="R57" i="25"/>
  <c r="R58" i="25" a="1"/>
  <c r="R58" i="25"/>
  <c r="R59" i="25" a="1"/>
  <c r="R59" i="25"/>
  <c r="R60" i="25" a="1"/>
  <c r="R60" i="25" s="1"/>
  <c r="R61" i="25" a="1"/>
  <c r="R61" i="25" s="1"/>
  <c r="R62" i="25" a="1"/>
  <c r="R62" i="25"/>
  <c r="R63" i="25" a="1"/>
  <c r="R63" i="25"/>
  <c r="R64" i="25" a="1"/>
  <c r="R64" i="25"/>
  <c r="R65" i="25" a="1"/>
  <c r="R65" i="25"/>
  <c r="R66" i="25" a="1"/>
  <c r="R66" i="25"/>
  <c r="R67" i="25" a="1"/>
  <c r="R67" i="25" s="1"/>
  <c r="R68" i="25" a="1"/>
  <c r="R68" i="25" s="1"/>
  <c r="R69" i="25" a="1"/>
  <c r="R69" i="25"/>
  <c r="R70" i="25" a="1"/>
  <c r="R70" i="25"/>
  <c r="R71" i="25" a="1"/>
  <c r="R71" i="25"/>
  <c r="R72" i="25" a="1"/>
  <c r="R72" i="25"/>
  <c r="R73" i="25" a="1"/>
  <c r="R73" i="25"/>
  <c r="R74" i="25" a="1"/>
  <c r="R74" i="25" s="1"/>
  <c r="R75" i="25" a="1"/>
  <c r="R75" i="25" s="1"/>
  <c r="R76" i="25" a="1"/>
  <c r="R76" i="25"/>
  <c r="R77" i="25" a="1"/>
  <c r="R77" i="25"/>
  <c r="R78" i="25" a="1"/>
  <c r="R78" i="25"/>
  <c r="R79" i="25" a="1"/>
  <c r="R79" i="25"/>
  <c r="R80" i="25" a="1"/>
  <c r="R80" i="25" s="1"/>
  <c r="R81" i="25" a="1"/>
  <c r="R81" i="25" s="1"/>
  <c r="R82" i="25" a="1"/>
  <c r="R82" i="25" s="1"/>
  <c r="R83" i="25" a="1"/>
  <c r="R83" i="25"/>
  <c r="R84" i="25" a="1"/>
  <c r="R84" i="25"/>
  <c r="R85" i="25" a="1"/>
  <c r="R85" i="25"/>
  <c r="R86" i="25" a="1"/>
  <c r="R86" i="25"/>
  <c r="R87" i="25" a="1"/>
  <c r="R87" i="25"/>
  <c r="R88" i="25" a="1"/>
  <c r="R88" i="25" s="1"/>
  <c r="R89" i="25" a="1"/>
  <c r="R89" i="25" s="1"/>
  <c r="R90" i="25" a="1"/>
  <c r="R90" i="25"/>
  <c r="R91" i="25" a="1"/>
  <c r="R91" i="25"/>
  <c r="R92" i="25" a="1"/>
  <c r="R92" i="25"/>
  <c r="R93" i="25" a="1"/>
  <c r="R93" i="25"/>
  <c r="R94" i="25" a="1"/>
  <c r="R94" i="25"/>
  <c r="R95" i="25" a="1"/>
  <c r="R95" i="25" s="1"/>
  <c r="R96" i="25" a="1"/>
  <c r="R96" i="25" s="1"/>
  <c r="R97" i="25" a="1"/>
  <c r="R97" i="25"/>
  <c r="R98" i="25" a="1"/>
  <c r="R98" i="25"/>
  <c r="R99" i="25" a="1"/>
  <c r="R99" i="25"/>
  <c r="R100" i="25" a="1"/>
  <c r="R100" i="25"/>
  <c r="R101" i="25" a="1"/>
  <c r="R101" i="25"/>
  <c r="R102" i="25" a="1"/>
  <c r="R102" i="25" s="1"/>
  <c r="R103" i="25" a="1"/>
  <c r="R103" i="25" s="1"/>
  <c r="R104" i="25" a="1"/>
  <c r="R104" i="25"/>
  <c r="R105" i="25" a="1"/>
  <c r="R105" i="25"/>
  <c r="R106" i="25" a="1"/>
  <c r="R106" i="25"/>
  <c r="R107" i="25" a="1"/>
  <c r="R107" i="25"/>
  <c r="R108" i="25" a="1"/>
  <c r="R108" i="25"/>
  <c r="R109" i="25" a="1"/>
  <c r="R109" i="25" s="1"/>
  <c r="R110" i="25" a="1"/>
  <c r="R110" i="25" s="1"/>
  <c r="R111" i="25" a="1"/>
  <c r="R111" i="25"/>
  <c r="R112" i="25" a="1"/>
  <c r="R112" i="25"/>
  <c r="R113" i="25" a="1"/>
  <c r="R113" i="25"/>
  <c r="R114" i="25" a="1"/>
  <c r="R114" i="25"/>
  <c r="R115" i="25" a="1"/>
  <c r="R115" i="25"/>
  <c r="R116" i="25" a="1"/>
  <c r="R116" i="25" s="1"/>
  <c r="R117" i="25" a="1"/>
  <c r="R117" i="25" s="1"/>
  <c r="R118" i="25" a="1"/>
  <c r="R118" i="25"/>
  <c r="R119" i="25" a="1"/>
  <c r="R119" i="25"/>
  <c r="R120" i="25" a="1"/>
  <c r="R120" i="25"/>
  <c r="R121" i="25" a="1"/>
  <c r="R121" i="25"/>
  <c r="R122" i="25" a="1"/>
  <c r="R122" i="25"/>
  <c r="R123" i="25" a="1"/>
  <c r="R123" i="25" s="1"/>
  <c r="R124" i="25" a="1"/>
  <c r="R124" i="25" s="1"/>
  <c r="R125" i="25" a="1"/>
  <c r="R125" i="25"/>
  <c r="R126" i="25" a="1"/>
  <c r="R126" i="25"/>
  <c r="R127" i="25" a="1"/>
  <c r="R127" i="25"/>
  <c r="R128" i="25" a="1"/>
  <c r="R128" i="25"/>
  <c r="R129" i="25" a="1"/>
  <c r="R129" i="25"/>
  <c r="R130" i="25" a="1"/>
  <c r="R130" i="25" s="1"/>
  <c r="R131" i="25" a="1"/>
  <c r="R131" i="25" s="1"/>
  <c r="R132" i="25" a="1"/>
  <c r="R132" i="25"/>
  <c r="R133" i="25" a="1"/>
  <c r="R133" i="25"/>
  <c r="R134" i="25" a="1"/>
  <c r="R134" i="25"/>
  <c r="R135" i="25" a="1"/>
  <c r="R135" i="25"/>
  <c r="R136" i="25" a="1"/>
  <c r="R136" i="25"/>
  <c r="R137" i="25" a="1"/>
  <c r="R137" i="25" s="1"/>
  <c r="R138" i="25" a="1"/>
  <c r="R138" i="25" s="1"/>
  <c r="R139" i="25" a="1"/>
  <c r="R139" i="25"/>
  <c r="R140" i="25" a="1"/>
  <c r="R140" i="25"/>
  <c r="R141" i="25" a="1"/>
  <c r="R141" i="25"/>
  <c r="R142" i="25" a="1"/>
  <c r="R142" i="25"/>
  <c r="R143" i="25" a="1"/>
  <c r="R143" i="25"/>
  <c r="R144" i="25" a="1"/>
  <c r="R144" i="25" s="1"/>
  <c r="R145" i="25" a="1"/>
  <c r="R145" i="25" s="1"/>
  <c r="R146" i="25" a="1"/>
  <c r="R146" i="25"/>
  <c r="R147" i="25" a="1"/>
  <c r="R147" i="25"/>
  <c r="R148" i="25" a="1"/>
  <c r="R148" i="25"/>
  <c r="R149" i="25" a="1"/>
  <c r="R149" i="25"/>
  <c r="R150" i="25" a="1"/>
  <c r="R150" i="25"/>
  <c r="R151" i="25" a="1"/>
  <c r="R151" i="25" s="1"/>
  <c r="R152" i="25" a="1"/>
  <c r="R152" i="25" s="1"/>
  <c r="R153" i="25" a="1"/>
  <c r="R153" i="25"/>
  <c r="R154" i="25" a="1"/>
  <c r="R154" i="25"/>
  <c r="R155" i="25" a="1"/>
  <c r="R155" i="25"/>
  <c r="R156" i="25" a="1"/>
  <c r="R156" i="25"/>
  <c r="R157" i="25" a="1"/>
  <c r="R157" i="25"/>
  <c r="R158" i="25" a="1"/>
  <c r="R158" i="25" s="1"/>
  <c r="R159" i="25" a="1"/>
  <c r="R159" i="25" s="1"/>
  <c r="R160" i="25" a="1"/>
  <c r="R160" i="25"/>
  <c r="R161" i="25" a="1"/>
  <c r="R161" i="25"/>
  <c r="R162" i="25" a="1"/>
  <c r="R162" i="25"/>
  <c r="R163" i="25" a="1"/>
  <c r="R163" i="25"/>
  <c r="R164" i="25" a="1"/>
  <c r="R164" i="25"/>
  <c r="R165" i="25" a="1"/>
  <c r="R165" i="25" s="1"/>
  <c r="R166" i="25" a="1"/>
  <c r="R166" i="25" s="1"/>
  <c r="R167" i="25" a="1"/>
  <c r="R167" i="25"/>
  <c r="R168" i="25" a="1"/>
  <c r="R168" i="25"/>
  <c r="R169" i="25" a="1"/>
  <c r="R169" i="25"/>
  <c r="R170" i="25" a="1"/>
  <c r="R170" i="25"/>
  <c r="R171" i="25" a="1"/>
  <c r="R171" i="25"/>
  <c r="R172" i="25" a="1"/>
  <c r="R172" i="25" s="1"/>
  <c r="R173" i="25" a="1"/>
  <c r="R173" i="25" s="1"/>
  <c r="R174" i="25" a="1"/>
  <c r="R174" i="25"/>
  <c r="R175" i="25" a="1"/>
  <c r="R175" i="25" s="1"/>
  <c r="R176" i="25" a="1"/>
  <c r="R176" i="25"/>
  <c r="R177" i="25" a="1"/>
  <c r="R177" i="25"/>
  <c r="R178" i="25" a="1"/>
  <c r="R178" i="25"/>
  <c r="R179" i="25" a="1"/>
  <c r="R179" i="25" s="1"/>
  <c r="R180" i="25" a="1"/>
  <c r="R180" i="25" s="1"/>
  <c r="R181" i="25" a="1"/>
  <c r="R181" i="25"/>
  <c r="R182" i="25" a="1"/>
  <c r="R182" i="25"/>
  <c r="R183" i="25" a="1"/>
  <c r="R183" i="25"/>
  <c r="R184" i="25" a="1"/>
  <c r="R184" i="25"/>
  <c r="R185" i="25" a="1"/>
  <c r="R185" i="25"/>
  <c r="R186" i="25" a="1"/>
  <c r="R186" i="25" s="1"/>
  <c r="R187" i="25" a="1"/>
  <c r="R187" i="25" s="1"/>
  <c r="R188" i="25" a="1"/>
  <c r="R188" i="25"/>
  <c r="R189" i="25" a="1"/>
  <c r="R189" i="25"/>
  <c r="R190" i="25" a="1"/>
  <c r="R190" i="25"/>
  <c r="R191" i="25" a="1"/>
  <c r="R191" i="25"/>
  <c r="R192" i="25" a="1"/>
  <c r="R192" i="25"/>
  <c r="R193" i="25" a="1"/>
  <c r="R193" i="25" s="1"/>
  <c r="R194" i="25" a="1"/>
  <c r="R194" i="25" s="1"/>
  <c r="R195" i="25" a="1"/>
  <c r="R195" i="25"/>
  <c r="R196" i="25" a="1"/>
  <c r="R196" i="25"/>
  <c r="R197" i="25" a="1"/>
  <c r="R197" i="25"/>
  <c r="R198" i="25" a="1"/>
  <c r="R198" i="25"/>
  <c r="R199" i="25" a="1"/>
  <c r="R199" i="25"/>
  <c r="R3" i="25" a="1"/>
  <c r="R3" i="25"/>
  <c r="T8" i="29" a="1"/>
  <c r="T8" i="29"/>
  <c r="T9" i="29" a="1"/>
  <c r="T9" i="29" s="1"/>
  <c r="T10" i="29" a="1"/>
  <c r="T10" i="29" s="1"/>
  <c r="T11" i="29" a="1"/>
  <c r="T11" i="29"/>
  <c r="T12" i="29" a="1"/>
  <c r="T12" i="29"/>
  <c r="T13" i="29" a="1"/>
  <c r="T13" i="29" s="1"/>
  <c r="T14" i="29" a="1"/>
  <c r="T14" i="29" s="1"/>
  <c r="T15" i="29" a="1"/>
  <c r="T15" i="29"/>
  <c r="T16" i="29" a="1"/>
  <c r="T16" i="29" s="1"/>
  <c r="T17" i="29" a="1"/>
  <c r="T17" i="29" s="1"/>
  <c r="T18" i="29" a="1"/>
  <c r="T18" i="29"/>
  <c r="T19" i="29" a="1"/>
  <c r="T19" i="29"/>
  <c r="T20" i="29" a="1"/>
  <c r="T20" i="29"/>
  <c r="T21" i="29" a="1"/>
  <c r="T21" i="29"/>
  <c r="T22" i="29" a="1"/>
  <c r="T22" i="29"/>
  <c r="T23" i="29" a="1"/>
  <c r="T23" i="29" s="1"/>
  <c r="T24" i="29" a="1"/>
  <c r="T24" i="29" s="1"/>
  <c r="T25" i="29" a="1"/>
  <c r="T25" i="29"/>
  <c r="T26" i="29" a="1"/>
  <c r="T26" i="29"/>
  <c r="T27" i="29" a="1"/>
  <c r="T27" i="29" s="1"/>
  <c r="T28" i="29" a="1"/>
  <c r="T28" i="29" s="1"/>
  <c r="O49" i="14" a="1"/>
  <c r="O49" i="14" s="1"/>
  <c r="O50" i="14" a="1"/>
  <c r="O50" i="14"/>
  <c r="O51" i="14" a="1"/>
  <c r="O51" i="14" s="1"/>
  <c r="O52" i="14" a="1"/>
  <c r="O52" i="14" s="1"/>
  <c r="O53" i="14" a="1"/>
  <c r="O53" i="14" s="1"/>
  <c r="O54" i="14" a="1"/>
  <c r="O54" i="14" s="1"/>
  <c r="O55" i="14" a="1"/>
  <c r="O55" i="14" s="1"/>
  <c r="O56" i="14" a="1"/>
  <c r="O56" i="14" s="1"/>
  <c r="O24" i="14" a="1"/>
  <c r="O24" i="14" s="1"/>
  <c r="O25" i="14" a="1"/>
  <c r="O25" i="14" s="1"/>
  <c r="O26" i="14" a="1"/>
  <c r="O26" i="14" s="1"/>
  <c r="O27" i="14" a="1"/>
  <c r="O27" i="14"/>
  <c r="O28" i="14" a="1"/>
  <c r="O28" i="14"/>
  <c r="O29" i="14" a="1"/>
  <c r="O29" i="14" s="1"/>
  <c r="O30" i="14" a="1"/>
  <c r="O30" i="14" s="1"/>
  <c r="O31" i="14" a="1"/>
  <c r="O31" i="14" s="1"/>
  <c r="O32" i="14" a="1"/>
  <c r="O32" i="14" s="1"/>
  <c r="O33" i="14" a="1"/>
  <c r="O33" i="14" s="1"/>
  <c r="O34" i="14" a="1"/>
  <c r="O34" i="14"/>
  <c r="O35" i="14" a="1"/>
  <c r="O35" i="14"/>
  <c r="O36" i="14" a="1"/>
  <c r="O36" i="14" s="1"/>
  <c r="O37" i="14" a="1"/>
  <c r="O37" i="14" s="1"/>
  <c r="O38" i="14" a="1"/>
  <c r="O38" i="14" s="1"/>
  <c r="O39" i="14" a="1"/>
  <c r="O39" i="14" s="1"/>
  <c r="O40" i="14" a="1"/>
  <c r="O40" i="14" s="1"/>
  <c r="O41" i="14" a="1"/>
  <c r="O41" i="14"/>
  <c r="O42" i="14" a="1"/>
  <c r="O42" i="14" s="1"/>
  <c r="O43" i="14" a="1"/>
  <c r="O43" i="14" s="1"/>
  <c r="O44" i="14" a="1"/>
  <c r="O44" i="14" s="1"/>
  <c r="O45" i="14" a="1"/>
  <c r="O45" i="14" s="1"/>
  <c r="O46" i="14" a="1"/>
  <c r="O46" i="14" s="1"/>
  <c r="O47" i="14" a="1"/>
  <c r="O47" i="14" s="1"/>
  <c r="O48" i="14" a="1"/>
  <c r="O48" i="14"/>
  <c r="O17" i="14" a="1"/>
  <c r="O17" i="14" s="1"/>
  <c r="O18" i="14" a="1"/>
  <c r="O18" i="14" s="1"/>
  <c r="O19" i="14" a="1"/>
  <c r="O19" i="14" s="1"/>
  <c r="O20" i="14" a="1"/>
  <c r="O20" i="14" s="1"/>
  <c r="O21" i="14" a="1"/>
  <c r="O21" i="14" s="1"/>
  <c r="O22" i="14" a="1"/>
  <c r="O22" i="14" s="1"/>
  <c r="O23" i="14" a="1"/>
  <c r="O23" i="14" s="1"/>
  <c r="O10" i="14" a="1"/>
  <c r="O10" i="14"/>
  <c r="O3" i="14" a="1"/>
  <c r="O3" i="14" s="1"/>
  <c r="O4" i="14" a="1"/>
  <c r="O4" i="14" s="1"/>
  <c r="O5" i="14" a="1"/>
  <c r="O5" i="14" s="1"/>
  <c r="U5" i="26" a="1"/>
  <c r="U5" i="26"/>
  <c r="U6" i="26" a="1"/>
  <c r="U6" i="26" s="1"/>
  <c r="U8" i="26" a="1"/>
  <c r="U8" i="26" s="1"/>
  <c r="U9" i="26" a="1"/>
  <c r="U9" i="26"/>
  <c r="U10" i="26" a="1"/>
  <c r="U10" i="26"/>
  <c r="U11" i="26" a="1"/>
  <c r="U11" i="26"/>
  <c r="U12" i="26" a="1"/>
  <c r="U12" i="26"/>
  <c r="U13" i="26" a="1"/>
  <c r="U13" i="26"/>
  <c r="U14" i="26" a="1"/>
  <c r="U14" i="26"/>
  <c r="U15" i="26" a="1"/>
  <c r="U15" i="26" s="1"/>
  <c r="U16" i="26" a="1"/>
  <c r="U16" i="26"/>
  <c r="U17" i="26" a="1"/>
  <c r="U17" i="26"/>
  <c r="U18" i="26" a="1"/>
  <c r="U18" i="26"/>
  <c r="U19" i="26" a="1"/>
  <c r="U19" i="26"/>
  <c r="U20" i="26" a="1"/>
  <c r="U20" i="26"/>
  <c r="U21" i="26" a="1"/>
  <c r="U21" i="26"/>
  <c r="U22" i="26" a="1"/>
  <c r="U22" i="26" s="1"/>
  <c r="U23" i="26" a="1"/>
  <c r="U23" i="26"/>
  <c r="U24" i="26" a="1"/>
  <c r="U24" i="26"/>
  <c r="U25" i="26" a="1"/>
  <c r="U25" i="26"/>
  <c r="U26" i="26" a="1"/>
  <c r="U26" i="26"/>
  <c r="U27" i="26" a="1"/>
  <c r="U27" i="26"/>
  <c r="U28" i="26" a="1"/>
  <c r="U28" i="26"/>
  <c r="U29" i="26" a="1"/>
  <c r="U29" i="26" s="1"/>
  <c r="U30" i="26" a="1"/>
  <c r="U30" i="26"/>
  <c r="U31" i="26" a="1"/>
  <c r="U31" i="26"/>
  <c r="U32" i="26" a="1"/>
  <c r="U32" i="26"/>
  <c r="U33" i="26" a="1"/>
  <c r="U33" i="26"/>
  <c r="U34" i="26" a="1"/>
  <c r="U34" i="26"/>
  <c r="U35" i="26" a="1"/>
  <c r="U35" i="26"/>
  <c r="U36" i="26" a="1"/>
  <c r="U36" i="26" s="1"/>
  <c r="U37" i="26" a="1"/>
  <c r="U37" i="26"/>
  <c r="U38" i="26" a="1"/>
  <c r="U38" i="26"/>
  <c r="U39" i="26" a="1"/>
  <c r="U39" i="26"/>
  <c r="U7" i="26" a="1"/>
  <c r="U7" i="26" s="1"/>
  <c r="AA5" i="27" a="1"/>
  <c r="AA5" i="27" s="1"/>
  <c r="AA6" i="27" a="1"/>
  <c r="AA6" i="27" s="1"/>
  <c r="AA7" i="27" a="1"/>
  <c r="AA7" i="27" s="1"/>
  <c r="AA8" i="27" a="1"/>
  <c r="AA8" i="27"/>
  <c r="AA9" i="27" a="1"/>
  <c r="AA9" i="27" s="1"/>
  <c r="AA10" i="27" a="1"/>
  <c r="AA10" i="27"/>
  <c r="AA11" i="27" a="1"/>
  <c r="AA11" i="27" s="1"/>
  <c r="AA12" i="27" a="1"/>
  <c r="AA12" i="27" s="1"/>
  <c r="AA13" i="27" a="1"/>
  <c r="AA13" i="27"/>
  <c r="AA14" i="27" a="1"/>
  <c r="AA14" i="27" s="1"/>
  <c r="AA15" i="27" a="1"/>
  <c r="AA15" i="27" s="1"/>
  <c r="AA16" i="27" a="1"/>
  <c r="AA16" i="27"/>
  <c r="AA17" i="27" a="1"/>
  <c r="AA17" i="27" s="1"/>
  <c r="AA18" i="27" a="1"/>
  <c r="AA18" i="27" s="1"/>
  <c r="AA19" i="27" a="1"/>
  <c r="AA19" i="27"/>
  <c r="AA20" i="27" a="1"/>
  <c r="AA20" i="27" s="1"/>
  <c r="AA21" i="27" a="1"/>
  <c r="AA21" i="27" s="1"/>
  <c r="AA22" i="27" a="1"/>
  <c r="AA22" i="27" s="1"/>
  <c r="AA23" i="27" a="1"/>
  <c r="AA23" i="27" s="1"/>
  <c r="AA24" i="27" a="1"/>
  <c r="AA24" i="27" s="1"/>
  <c r="AA25" i="27" a="1"/>
  <c r="AA25" i="27" s="1"/>
  <c r="AA26" i="27" a="1"/>
  <c r="AA26" i="27" s="1"/>
  <c r="AA27" i="27" a="1"/>
  <c r="AA27" i="27" s="1"/>
  <c r="T82" i="24" a="1"/>
  <c r="T82" i="24" s="1"/>
  <c r="T81" i="24" a="1"/>
  <c r="T81" i="24" s="1"/>
  <c r="Y114" i="24"/>
  <c r="H13" i="26"/>
  <c r="R20" i="29" l="1"/>
  <c r="S20" i="29" s="1"/>
  <c r="R19" i="29"/>
  <c r="S19" i="29" s="1"/>
  <c r="S4" i="29"/>
  <c r="S8" i="29"/>
  <c r="S9" i="29"/>
  <c r="R28" i="29"/>
  <c r="S28" i="29" s="1"/>
  <c r="R27" i="29"/>
  <c r="S27" i="29" s="1"/>
  <c r="R26" i="29"/>
  <c r="S26" i="29" s="1"/>
  <c r="R25" i="29"/>
  <c r="S25" i="29" s="1"/>
  <c r="R24" i="29"/>
  <c r="S24" i="29" s="1"/>
  <c r="R23" i="29"/>
  <c r="S23" i="29" s="1"/>
  <c r="R22" i="29"/>
  <c r="S22" i="29" s="1"/>
  <c r="R21" i="29"/>
  <c r="S21" i="29" s="1"/>
  <c r="R18" i="29"/>
  <c r="S18" i="29" s="1"/>
  <c r="R17" i="29"/>
  <c r="S17" i="29" s="1"/>
  <c r="R16" i="29"/>
  <c r="S16" i="29" s="1"/>
  <c r="R15" i="29"/>
  <c r="S15" i="29" s="1"/>
  <c r="R14" i="29"/>
  <c r="S14" i="29" s="1"/>
  <c r="R13" i="29"/>
  <c r="S13" i="29" s="1"/>
  <c r="R12" i="29"/>
  <c r="S12" i="29" s="1"/>
  <c r="R11" i="29"/>
  <c r="S11" i="29" s="1"/>
  <c r="R10" i="29"/>
  <c r="S10" i="29" s="1"/>
  <c r="T7" i="29" a="1"/>
  <c r="T7" i="29" s="1"/>
  <c r="R7" i="29"/>
  <c r="S7" i="29" s="1"/>
  <c r="T6" i="29" a="1"/>
  <c r="T6" i="29" s="1"/>
  <c r="R6" i="29"/>
  <c r="S6" i="29" s="1"/>
  <c r="T5" i="29" a="1"/>
  <c r="T5" i="29" s="1"/>
  <c r="R5" i="29"/>
  <c r="S5" i="29" s="1"/>
  <c r="T3" i="29" a="1"/>
  <c r="T3" i="29" s="1"/>
  <c r="R3" i="29"/>
  <c r="S3" i="29" s="1"/>
  <c r="S29" i="29" l="1"/>
  <c r="Y19" i="27" l="1"/>
  <c r="Z19" i="27" s="1"/>
  <c r="Z21" i="27"/>
  <c r="Y23" i="27"/>
  <c r="Z23" i="27" s="1"/>
  <c r="Z27" i="27"/>
  <c r="Y26" i="27"/>
  <c r="Z26" i="27" s="1"/>
  <c r="Y25" i="27"/>
  <c r="Z25" i="27" s="1"/>
  <c r="Y24" i="27"/>
  <c r="Z24" i="27" s="1"/>
  <c r="Z22" i="27"/>
  <c r="Y20" i="27"/>
  <c r="Z20" i="27" s="1"/>
  <c r="Z18" i="27"/>
  <c r="Y17" i="27"/>
  <c r="Z17" i="27" s="1"/>
  <c r="Z16" i="27"/>
  <c r="Y15" i="27"/>
  <c r="Z15" i="27" s="1"/>
  <c r="Y14" i="27"/>
  <c r="Z14" i="27" s="1"/>
  <c r="Y13" i="27"/>
  <c r="Z13" i="27" s="1"/>
  <c r="Y12" i="27"/>
  <c r="Z12" i="27" s="1"/>
  <c r="Y11" i="27"/>
  <c r="Z11" i="27" s="1"/>
  <c r="Y10" i="27"/>
  <c r="Z10" i="27" s="1"/>
  <c r="Y9" i="27"/>
  <c r="Z9" i="27" s="1"/>
  <c r="Y8" i="27"/>
  <c r="Z8" i="27" s="1"/>
  <c r="Y7" i="27"/>
  <c r="Z7" i="27" s="1"/>
  <c r="Y6" i="27"/>
  <c r="Z6" i="27" s="1"/>
  <c r="Y5" i="27"/>
  <c r="Z5" i="27" s="1"/>
  <c r="AA4" i="27" a="1"/>
  <c r="AA4" i="27" s="1"/>
  <c r="Y4" i="27"/>
  <c r="Z4" i="27" s="1"/>
  <c r="AA3" i="27" a="1"/>
  <c r="AA3" i="27" s="1"/>
  <c r="Y3" i="27"/>
  <c r="Z3" i="27" s="1"/>
  <c r="Z28" i="27" l="1"/>
  <c r="T57" i="24" a="1"/>
  <c r="T57" i="24" s="1"/>
  <c r="S57" i="24"/>
  <c r="T54" i="24" a="1"/>
  <c r="T54" i="24" s="1"/>
  <c r="S54" i="24"/>
  <c r="T51" i="24" a="1"/>
  <c r="T51" i="24" s="1"/>
  <c r="S51" i="24"/>
  <c r="T48" i="24" a="1"/>
  <c r="T48" i="24" s="1"/>
  <c r="S48" i="24"/>
  <c r="T45" i="24" a="1"/>
  <c r="T45" i="24" s="1"/>
  <c r="S45" i="24"/>
  <c r="T42" i="24" a="1"/>
  <c r="T42" i="24" s="1"/>
  <c r="S42" i="24"/>
  <c r="T40" i="24" a="1"/>
  <c r="T40" i="24" s="1"/>
  <c r="T49" i="24" a="1"/>
  <c r="T49" i="24" s="1"/>
  <c r="T52" i="24" a="1"/>
  <c r="T52" i="24" s="1"/>
  <c r="T53" i="24" a="1"/>
  <c r="T53" i="24" s="1"/>
  <c r="T60" i="24" a="1"/>
  <c r="T60" i="24" s="1"/>
  <c r="T61" i="24" a="1"/>
  <c r="T61" i="24" s="1"/>
  <c r="T7" i="24" a="1"/>
  <c r="T7" i="24" s="1"/>
  <c r="T8" i="24" a="1"/>
  <c r="T8" i="24" s="1"/>
  <c r="T9" i="24" a="1"/>
  <c r="T9" i="24" s="1"/>
  <c r="T10" i="24" a="1"/>
  <c r="T10" i="24" s="1"/>
  <c r="T11" i="24" a="1"/>
  <c r="T11" i="24" s="1"/>
  <c r="T12" i="24" a="1"/>
  <c r="T12" i="24" s="1"/>
  <c r="T13" i="24" a="1"/>
  <c r="T13" i="24" s="1"/>
  <c r="T14" i="24" a="1"/>
  <c r="T14" i="24" s="1"/>
  <c r="T15" i="24" a="1"/>
  <c r="T15" i="24" s="1"/>
  <c r="T16" i="24" a="1"/>
  <c r="T16" i="24" s="1"/>
  <c r="T17" i="24" a="1"/>
  <c r="T17" i="24" s="1"/>
  <c r="T18" i="24" a="1"/>
  <c r="T18" i="24" s="1"/>
  <c r="T19" i="24" a="1"/>
  <c r="T19" i="24" s="1"/>
  <c r="T20" i="24" a="1"/>
  <c r="T20" i="24" s="1"/>
  <c r="T21" i="24" a="1"/>
  <c r="T21" i="24" s="1"/>
  <c r="T22" i="24" a="1"/>
  <c r="T22" i="24" s="1"/>
  <c r="T30" i="24" a="1"/>
  <c r="T30" i="24" s="1"/>
  <c r="T31" i="24" a="1"/>
  <c r="T31" i="24" s="1"/>
  <c r="T32" i="24" a="1"/>
  <c r="T32" i="24" s="1"/>
  <c r="T33" i="24" a="1"/>
  <c r="T33" i="24" s="1"/>
  <c r="T34" i="24" a="1"/>
  <c r="T34" i="24" s="1"/>
  <c r="T35" i="24" a="1"/>
  <c r="T35" i="24" s="1"/>
  <c r="T36" i="24" a="1"/>
  <c r="T36" i="24" s="1"/>
  <c r="T37" i="24" a="1"/>
  <c r="T37" i="24" s="1"/>
  <c r="T39" i="24" a="1"/>
  <c r="T39" i="24" s="1"/>
  <c r="T43" i="24" a="1"/>
  <c r="T43" i="24" s="1"/>
  <c r="T44" i="24" a="1"/>
  <c r="T44" i="24" s="1"/>
  <c r="T46" i="24" a="1"/>
  <c r="T46" i="24" s="1"/>
  <c r="T47" i="24" a="1"/>
  <c r="T47" i="24" s="1"/>
  <c r="T50" i="24" a="1"/>
  <c r="T50" i="24" s="1"/>
  <c r="T55" i="24" a="1"/>
  <c r="T55" i="24" s="1"/>
  <c r="T56" i="24" a="1"/>
  <c r="T56" i="24" s="1"/>
  <c r="T58" i="24" a="1"/>
  <c r="T58" i="24" s="1"/>
  <c r="T59" i="24" a="1"/>
  <c r="T59" i="24" s="1"/>
  <c r="T62" i="24" a="1"/>
  <c r="T62" i="24" s="1"/>
  <c r="T65" i="24" a="1"/>
  <c r="T65" i="24" s="1"/>
  <c r="T66" i="24" a="1"/>
  <c r="T66" i="24" s="1"/>
  <c r="T67" i="24" a="1"/>
  <c r="T67" i="24" s="1"/>
  <c r="T68" i="24" a="1"/>
  <c r="T68" i="24" s="1"/>
  <c r="T69" i="24" a="1"/>
  <c r="T69" i="24" s="1"/>
  <c r="T70" i="24" a="1"/>
  <c r="T70" i="24" s="1"/>
  <c r="T71" i="24" a="1"/>
  <c r="T71" i="24" s="1"/>
  <c r="T72" i="24" a="1"/>
  <c r="T72" i="24" s="1"/>
  <c r="T73" i="24" a="1"/>
  <c r="T73" i="24" s="1"/>
  <c r="T74" i="24" a="1"/>
  <c r="T74" i="24" s="1"/>
  <c r="T75" i="24" a="1"/>
  <c r="T75" i="24" s="1"/>
  <c r="T76" i="24" a="1"/>
  <c r="T76" i="24" s="1"/>
  <c r="T77" i="24" a="1"/>
  <c r="T77" i="24" s="1"/>
  <c r="T78" i="24" a="1"/>
  <c r="T78" i="24" s="1"/>
  <c r="T79" i="24" a="1"/>
  <c r="T79" i="24" s="1"/>
  <c r="T80" i="24" a="1"/>
  <c r="T80" i="24" s="1"/>
  <c r="T83" i="24" a="1"/>
  <c r="T83" i="24" s="1"/>
  <c r="T84" i="24" a="1"/>
  <c r="T84" i="24" s="1"/>
  <c r="T85" i="24" a="1"/>
  <c r="T85" i="24" s="1"/>
  <c r="T86" i="24" a="1"/>
  <c r="T86" i="24" s="1"/>
  <c r="T87" i="24" a="1"/>
  <c r="T87" i="24" s="1"/>
  <c r="T88" i="24" a="1"/>
  <c r="T88" i="24" s="1"/>
  <c r="T89" i="24" a="1"/>
  <c r="T89" i="24" s="1"/>
  <c r="T90" i="24" a="1"/>
  <c r="T90" i="24" s="1"/>
  <c r="T91" i="24" a="1"/>
  <c r="T91" i="24" s="1"/>
  <c r="T92" i="24" a="1"/>
  <c r="T92" i="24" s="1"/>
  <c r="T93" i="24" a="1"/>
  <c r="T93" i="24" s="1"/>
  <c r="T94" i="24" a="1"/>
  <c r="T94" i="24" s="1"/>
  <c r="T95" i="24" a="1"/>
  <c r="T95" i="24" s="1"/>
  <c r="T96" i="24" a="1"/>
  <c r="T96" i="24" s="1"/>
  <c r="T97" i="24" a="1"/>
  <c r="T97" i="24" s="1"/>
  <c r="T98" i="24" a="1"/>
  <c r="T98" i="24" s="1"/>
  <c r="T99" i="24" a="1"/>
  <c r="T99" i="24" s="1"/>
  <c r="T100" i="24" a="1"/>
  <c r="T100" i="24" s="1"/>
  <c r="T101" i="24" a="1"/>
  <c r="T101" i="24" s="1"/>
  <c r="T102" i="24" a="1"/>
  <c r="T102" i="24" s="1"/>
  <c r="T103" i="24" a="1"/>
  <c r="T103" i="24" s="1"/>
  <c r="T104" i="24" a="1"/>
  <c r="T104" i="24" s="1"/>
  <c r="T105" i="24" a="1"/>
  <c r="T105" i="24" s="1"/>
  <c r="T106" i="24" a="1"/>
  <c r="T106" i="24" s="1"/>
  <c r="T107" i="24" a="1"/>
  <c r="T107" i="24" s="1"/>
  <c r="T108" i="24" a="1"/>
  <c r="T108" i="24" s="1"/>
  <c r="T112" i="24" a="1"/>
  <c r="T112" i="24" s="1"/>
  <c r="T113" i="24" a="1"/>
  <c r="T113" i="24" s="1"/>
  <c r="T115" i="24" a="1"/>
  <c r="T115" i="24" s="1"/>
  <c r="T116" i="24" a="1"/>
  <c r="T116" i="24" s="1"/>
  <c r="T117" i="24" a="1"/>
  <c r="T117" i="24" s="1"/>
  <c r="T118" i="24" a="1"/>
  <c r="T118" i="24" s="1"/>
  <c r="T119" i="24" a="1"/>
  <c r="T119" i="24" s="1"/>
  <c r="T120" i="24" a="1"/>
  <c r="T120" i="24" s="1"/>
  <c r="T121" i="24" a="1"/>
  <c r="T121" i="24" s="1"/>
  <c r="T122" i="24" a="1"/>
  <c r="T122" i="24" s="1"/>
  <c r="T123" i="24" a="1"/>
  <c r="T123" i="24" s="1"/>
  <c r="T124" i="24" a="1"/>
  <c r="T124" i="24" s="1"/>
  <c r="T125" i="24" a="1"/>
  <c r="T125" i="24" s="1"/>
  <c r="T126" i="24" a="1"/>
  <c r="T126" i="24" s="1"/>
  <c r="T127" i="24" a="1"/>
  <c r="T127" i="24" s="1"/>
  <c r="T128" i="24" a="1"/>
  <c r="T128" i="24" s="1"/>
  <c r="T129" i="24" a="1"/>
  <c r="T129" i="24" s="1"/>
  <c r="T130" i="24" a="1"/>
  <c r="T130" i="24" s="1"/>
  <c r="T131" i="24" a="1"/>
  <c r="T131" i="24" s="1"/>
  <c r="T132" i="24" a="1"/>
  <c r="T132" i="24" s="1"/>
  <c r="T133" i="24" a="1"/>
  <c r="T133" i="24" s="1"/>
  <c r="T134" i="24" a="1"/>
  <c r="T134" i="24" s="1"/>
  <c r="T135" i="24" a="1"/>
  <c r="T135" i="24" s="1"/>
  <c r="T136" i="24" a="1"/>
  <c r="T136" i="24" s="1"/>
  <c r="T137" i="24" a="1"/>
  <c r="T137" i="24" s="1"/>
  <c r="T138" i="24" a="1"/>
  <c r="T138" i="24" s="1"/>
  <c r="T139" i="24" a="1"/>
  <c r="T139" i="24" s="1"/>
  <c r="T140" i="24" a="1"/>
  <c r="T140" i="24" s="1"/>
  <c r="T141" i="24" a="1"/>
  <c r="T141" i="24" s="1"/>
  <c r="T142" i="24" a="1"/>
  <c r="T142" i="24" s="1"/>
  <c r="T143" i="24" a="1"/>
  <c r="T143" i="24" s="1"/>
  <c r="T144" i="24" a="1"/>
  <c r="T144" i="24" s="1"/>
  <c r="T145" i="24" a="1"/>
  <c r="T145" i="24" s="1"/>
  <c r="T146" i="24" a="1"/>
  <c r="T146" i="24" s="1"/>
  <c r="T147" i="24" a="1"/>
  <c r="T147" i="24" s="1"/>
  <c r="T148" i="24" a="1"/>
  <c r="T148" i="24" s="1"/>
  <c r="T149" i="24" a="1"/>
  <c r="T149" i="24" s="1"/>
  <c r="T150" i="24" a="1"/>
  <c r="T150" i="24" s="1"/>
  <c r="T151" i="24" a="1"/>
  <c r="T151" i="24" s="1"/>
  <c r="T152" i="24" a="1"/>
  <c r="T152" i="24" s="1"/>
  <c r="T153" i="24" a="1"/>
  <c r="T153" i="24" s="1"/>
  <c r="T154" i="24" a="1"/>
  <c r="T154" i="24" s="1"/>
  <c r="T155" i="24" a="1"/>
  <c r="T155" i="24" s="1"/>
  <c r="T156" i="24" a="1"/>
  <c r="T156" i="24" s="1"/>
  <c r="T157" i="24" a="1"/>
  <c r="T157" i="24" s="1"/>
  <c r="T158" i="24" a="1"/>
  <c r="T158" i="24" s="1"/>
  <c r="T159" i="24" a="1"/>
  <c r="T159" i="24" s="1"/>
  <c r="T160" i="24" a="1"/>
  <c r="T160" i="24" s="1"/>
  <c r="T161" i="24" a="1"/>
  <c r="T161" i="24" s="1"/>
  <c r="T162" i="24" a="1"/>
  <c r="T162" i="24" s="1"/>
  <c r="T163" i="24" a="1"/>
  <c r="T163" i="24" s="1"/>
  <c r="T164" i="24" a="1"/>
  <c r="T164" i="24" s="1"/>
  <c r="T165" i="24" a="1"/>
  <c r="T165" i="24" s="1"/>
  <c r="T166" i="24" a="1"/>
  <c r="T166" i="24" s="1"/>
  <c r="T167" i="24" a="1"/>
  <c r="T167" i="24" s="1"/>
  <c r="T168" i="24" a="1"/>
  <c r="T168" i="24" s="1"/>
  <c r="T169" i="24" a="1"/>
  <c r="T169" i="24" s="1"/>
  <c r="T170" i="24" a="1"/>
  <c r="T170" i="24" s="1"/>
  <c r="T171" i="24" a="1"/>
  <c r="T171" i="24" s="1"/>
  <c r="T172" i="24" a="1"/>
  <c r="T172" i="24" s="1"/>
  <c r="T173" i="24" a="1"/>
  <c r="T173" i="24" s="1"/>
  <c r="T174" i="24" a="1"/>
  <c r="T174" i="24" s="1"/>
  <c r="T175" i="24" a="1"/>
  <c r="T175" i="24" s="1"/>
  <c r="T176" i="24" a="1"/>
  <c r="T176" i="24" s="1"/>
  <c r="T177" i="24" a="1"/>
  <c r="T177" i="24" s="1"/>
  <c r="T6" i="24" a="1"/>
  <c r="T6" i="24" s="1"/>
  <c r="R2990" i="25" a="1"/>
  <c r="R2990" i="25" s="1"/>
  <c r="R2989" i="25" a="1"/>
  <c r="R2989" i="25" s="1"/>
  <c r="R2988" i="25" a="1"/>
  <c r="R2988" i="25" s="1"/>
  <c r="R2987" i="25" a="1"/>
  <c r="R2987" i="25" s="1"/>
  <c r="R2986" i="25" a="1"/>
  <c r="R2986" i="25" s="1"/>
  <c r="R2985" i="25" a="1"/>
  <c r="R2985" i="25" s="1"/>
  <c r="R2984" i="25" a="1"/>
  <c r="R2984" i="25" s="1"/>
  <c r="R2983" i="25" a="1"/>
  <c r="R2983" i="25" s="1"/>
  <c r="R2982" i="25" a="1"/>
  <c r="R2982" i="25" s="1"/>
  <c r="R2981" i="25" a="1"/>
  <c r="R2981" i="25" s="1"/>
  <c r="R2980" i="25" a="1"/>
  <c r="R2980" i="25" s="1"/>
  <c r="R2979" i="25" a="1"/>
  <c r="R2979" i="25" s="1"/>
  <c r="R2978" i="25" a="1"/>
  <c r="R2978" i="25" s="1"/>
  <c r="R2977" i="25" a="1"/>
  <c r="R2977" i="25" s="1"/>
  <c r="R2976" i="25" a="1"/>
  <c r="R2976" i="25" s="1"/>
  <c r="R2975" i="25" a="1"/>
  <c r="R2975" i="25" s="1"/>
  <c r="R2974" i="25" a="1"/>
  <c r="R2974" i="25" s="1"/>
  <c r="R2973" i="25" a="1"/>
  <c r="R2973" i="25" s="1"/>
  <c r="R2972" i="25" a="1"/>
  <c r="R2972" i="25" s="1"/>
  <c r="R2971" i="25" a="1"/>
  <c r="R2971" i="25" s="1"/>
  <c r="R2970" i="25" a="1"/>
  <c r="R2970" i="25" s="1"/>
  <c r="R2969" i="25" a="1"/>
  <c r="R2969" i="25" s="1"/>
  <c r="R2968" i="25" a="1"/>
  <c r="R2968" i="25" s="1"/>
  <c r="R2967" i="25" a="1"/>
  <c r="R2967" i="25" s="1"/>
  <c r="R2966" i="25" a="1"/>
  <c r="R2966" i="25" s="1"/>
  <c r="R2965" i="25" a="1"/>
  <c r="R2965" i="25" s="1"/>
  <c r="R2964" i="25" a="1"/>
  <c r="R2964" i="25" s="1"/>
  <c r="R2963" i="25" a="1"/>
  <c r="R2963" i="25" s="1"/>
  <c r="R2962" i="25" a="1"/>
  <c r="R2962" i="25" s="1"/>
  <c r="R2961" i="25" a="1"/>
  <c r="R2961" i="25" s="1"/>
  <c r="R2960" i="25" a="1"/>
  <c r="R2960" i="25" s="1"/>
  <c r="R2959" i="25" a="1"/>
  <c r="R2959" i="25" s="1"/>
  <c r="R2958" i="25" a="1"/>
  <c r="R2958" i="25" s="1"/>
  <c r="R2957" i="25" a="1"/>
  <c r="R2957" i="25" s="1"/>
  <c r="R2956" i="25" a="1"/>
  <c r="R2956" i="25" s="1"/>
  <c r="R2955" i="25" a="1"/>
  <c r="R2955" i="25" s="1"/>
  <c r="R2954" i="25" a="1"/>
  <c r="R2954" i="25" s="1"/>
  <c r="R2953" i="25" a="1"/>
  <c r="R2953" i="25" s="1"/>
  <c r="R2952" i="25" a="1"/>
  <c r="R2952" i="25" s="1"/>
  <c r="R2951" i="25" a="1"/>
  <c r="R2951" i="25" s="1"/>
  <c r="R2950" i="25" a="1"/>
  <c r="R2950" i="25" s="1"/>
  <c r="R2949" i="25" a="1"/>
  <c r="R2949" i="25" s="1"/>
  <c r="R2948" i="25" a="1"/>
  <c r="R2948" i="25" s="1"/>
  <c r="R2947" i="25" a="1"/>
  <c r="R2947" i="25" s="1"/>
  <c r="R2946" i="25" a="1"/>
  <c r="R2946" i="25" s="1"/>
  <c r="R2945" i="25" a="1"/>
  <c r="R2945" i="25" s="1"/>
  <c r="R2944" i="25" a="1"/>
  <c r="R2944" i="25" s="1"/>
  <c r="R2943" i="25" a="1"/>
  <c r="R2943" i="25" s="1"/>
  <c r="R2942" i="25" a="1"/>
  <c r="R2942" i="25" s="1"/>
  <c r="R2941" i="25" a="1"/>
  <c r="R2941" i="25" s="1"/>
  <c r="R2940" i="25" a="1"/>
  <c r="R2940" i="25" s="1"/>
  <c r="R2939" i="25" a="1"/>
  <c r="R2939" i="25" s="1"/>
  <c r="R2938" i="25" a="1"/>
  <c r="R2938" i="25" s="1"/>
  <c r="R2937" i="25" a="1"/>
  <c r="R2937" i="25" s="1"/>
  <c r="R2936" i="25" a="1"/>
  <c r="R2936" i="25" s="1"/>
  <c r="R2935" i="25" a="1"/>
  <c r="R2935" i="25" s="1"/>
  <c r="R2934" i="25" a="1"/>
  <c r="R2934" i="25" s="1"/>
  <c r="R2933" i="25" a="1"/>
  <c r="R2933" i="25" s="1"/>
  <c r="R2932" i="25" a="1"/>
  <c r="R2932" i="25" s="1"/>
  <c r="R2931" i="25" a="1"/>
  <c r="R2931" i="25" s="1"/>
  <c r="R2930" i="25" a="1"/>
  <c r="R2930" i="25" s="1"/>
  <c r="R2929" i="25" a="1"/>
  <c r="R2929" i="25" s="1"/>
  <c r="R2928" i="25" a="1"/>
  <c r="R2928" i="25" s="1"/>
  <c r="R2927" i="25" a="1"/>
  <c r="R2927" i="25" s="1"/>
  <c r="R2926" i="25" a="1"/>
  <c r="R2926" i="25" s="1"/>
  <c r="R2925" i="25" a="1"/>
  <c r="R2925" i="25" s="1"/>
  <c r="R2924" i="25" a="1"/>
  <c r="R2924" i="25" s="1"/>
  <c r="R2923" i="25" a="1"/>
  <c r="R2923" i="25" s="1"/>
  <c r="R2922" i="25" a="1"/>
  <c r="R2922" i="25" s="1"/>
  <c r="R2921" i="25" a="1"/>
  <c r="R2921" i="25" s="1"/>
  <c r="R2920" i="25" a="1"/>
  <c r="R2920" i="25" s="1"/>
  <c r="R2919" i="25" a="1"/>
  <c r="R2919" i="25" s="1"/>
  <c r="R2918" i="25" a="1"/>
  <c r="R2918" i="25" s="1"/>
  <c r="R2917" i="25" a="1"/>
  <c r="R2917" i="25" s="1"/>
  <c r="R2916" i="25" a="1"/>
  <c r="R2916" i="25" s="1"/>
  <c r="R2915" i="25" a="1"/>
  <c r="R2915" i="25" s="1"/>
  <c r="R2914" i="25" a="1"/>
  <c r="R2914" i="25" s="1"/>
  <c r="R2913" i="25" a="1"/>
  <c r="R2913" i="25" s="1"/>
  <c r="R2912" i="25" a="1"/>
  <c r="R2912" i="25" s="1"/>
  <c r="R2911" i="25" a="1"/>
  <c r="R2911" i="25" s="1"/>
  <c r="R2910" i="25" a="1"/>
  <c r="R2910" i="25" s="1"/>
  <c r="R2909" i="25" a="1"/>
  <c r="R2909" i="25" s="1"/>
  <c r="R2908" i="25" a="1"/>
  <c r="R2908" i="25" s="1"/>
  <c r="R2907" i="25" a="1"/>
  <c r="R2907" i="25" s="1"/>
  <c r="R2906" i="25" a="1"/>
  <c r="R2906" i="25" s="1"/>
  <c r="R2905" i="25" a="1"/>
  <c r="R2905" i="25" s="1"/>
  <c r="R2904" i="25" a="1"/>
  <c r="R2904" i="25" s="1"/>
  <c r="R2903" i="25" a="1"/>
  <c r="R2903" i="25" s="1"/>
  <c r="R2902" i="25" a="1"/>
  <c r="R2902" i="25" s="1"/>
  <c r="R2901" i="25" a="1"/>
  <c r="R2901" i="25" s="1"/>
  <c r="R2900" i="25" a="1"/>
  <c r="R2900" i="25" s="1"/>
  <c r="R2899" i="25" a="1"/>
  <c r="R2899" i="25" s="1"/>
  <c r="R2898" i="25" a="1"/>
  <c r="R2898" i="25" s="1"/>
  <c r="R2897" i="25" a="1"/>
  <c r="R2897" i="25" s="1"/>
  <c r="R2896" i="25" a="1"/>
  <c r="R2896" i="25" s="1"/>
  <c r="R2895" i="25" a="1"/>
  <c r="R2895" i="25" s="1"/>
  <c r="R2894" i="25" a="1"/>
  <c r="R2894" i="25" s="1"/>
  <c r="R2893" i="25" a="1"/>
  <c r="R2893" i="25" s="1"/>
  <c r="R2892" i="25" a="1"/>
  <c r="R2892" i="25" s="1"/>
  <c r="R2891" i="25" a="1"/>
  <c r="R2891" i="25" s="1"/>
  <c r="R2890" i="25" a="1"/>
  <c r="R2890" i="25" s="1"/>
  <c r="R2889" i="25" a="1"/>
  <c r="R2889" i="25" s="1"/>
  <c r="R2888" i="25" a="1"/>
  <c r="R2888" i="25" s="1"/>
  <c r="R2887" i="25" a="1"/>
  <c r="R2887" i="25" s="1"/>
  <c r="R2886" i="25" a="1"/>
  <c r="R2886" i="25" s="1"/>
  <c r="R2885" i="25" a="1"/>
  <c r="R2885" i="25" s="1"/>
  <c r="R2884" i="25" a="1"/>
  <c r="R2884" i="25" s="1"/>
  <c r="R2883" i="25" a="1"/>
  <c r="R2883" i="25" s="1"/>
  <c r="R2882" i="25" a="1"/>
  <c r="R2882" i="25" s="1"/>
  <c r="R2881" i="25" a="1"/>
  <c r="R2881" i="25" s="1"/>
  <c r="R2880" i="25" a="1"/>
  <c r="R2880" i="25" s="1"/>
  <c r="R2879" i="25" a="1"/>
  <c r="R2879" i="25" s="1"/>
  <c r="R2878" i="25" a="1"/>
  <c r="R2878" i="25" s="1"/>
  <c r="R2877" i="25" a="1"/>
  <c r="R2877" i="25" s="1"/>
  <c r="R2876" i="25" a="1"/>
  <c r="R2876" i="25" s="1"/>
  <c r="R2875" i="25" a="1"/>
  <c r="R2875" i="25" s="1"/>
  <c r="R2874" i="25" a="1"/>
  <c r="R2874" i="25" s="1"/>
  <c r="R2873" i="25" a="1"/>
  <c r="R2873" i="25" s="1"/>
  <c r="R2872" i="25" a="1"/>
  <c r="R2872" i="25" s="1"/>
  <c r="R2871" i="25" a="1"/>
  <c r="R2871" i="25" s="1"/>
  <c r="R2870" i="25" a="1"/>
  <c r="R2870" i="25" s="1"/>
  <c r="R2869" i="25" a="1"/>
  <c r="R2869" i="25" s="1"/>
  <c r="R2868" i="25" a="1"/>
  <c r="R2868" i="25" s="1"/>
  <c r="R2867" i="25" a="1"/>
  <c r="R2867" i="25" s="1"/>
  <c r="R2866" i="25" a="1"/>
  <c r="R2866" i="25" s="1"/>
  <c r="R2865" i="25" a="1"/>
  <c r="R2865" i="25" s="1"/>
  <c r="R2864" i="25" a="1"/>
  <c r="R2864" i="25" s="1"/>
  <c r="R2863" i="25" a="1"/>
  <c r="R2863" i="25" s="1"/>
  <c r="R2862" i="25" a="1"/>
  <c r="R2862" i="25" s="1"/>
  <c r="R2861" i="25" a="1"/>
  <c r="R2861" i="25" s="1"/>
  <c r="R2860" i="25" a="1"/>
  <c r="R2860" i="25" s="1"/>
  <c r="R2859" i="25" a="1"/>
  <c r="R2859" i="25" s="1"/>
  <c r="R2858" i="25" a="1"/>
  <c r="R2858" i="25" s="1"/>
  <c r="R2857" i="25" a="1"/>
  <c r="R2857" i="25" s="1"/>
  <c r="R2856" i="25" a="1"/>
  <c r="R2856" i="25" s="1"/>
  <c r="R2855" i="25" a="1"/>
  <c r="R2855" i="25" s="1"/>
  <c r="R2854" i="25" a="1"/>
  <c r="R2854" i="25" s="1"/>
  <c r="R2853" i="25" a="1"/>
  <c r="R2853" i="25" s="1"/>
  <c r="R2852" i="25" a="1"/>
  <c r="R2852" i="25" s="1"/>
  <c r="R2851" i="25" a="1"/>
  <c r="R2851" i="25" s="1"/>
  <c r="R2850" i="25" a="1"/>
  <c r="R2850" i="25" s="1"/>
  <c r="R2849" i="25" a="1"/>
  <c r="R2849" i="25" s="1"/>
  <c r="R2848" i="25" a="1"/>
  <c r="R2848" i="25" s="1"/>
  <c r="R2847" i="25" a="1"/>
  <c r="R2847" i="25" s="1"/>
  <c r="R2846" i="25" a="1"/>
  <c r="R2846" i="25" s="1"/>
  <c r="R2845" i="25" a="1"/>
  <c r="R2845" i="25" s="1"/>
  <c r="R2844" i="25" a="1"/>
  <c r="R2844" i="25" s="1"/>
  <c r="R2843" i="25" a="1"/>
  <c r="R2843" i="25" s="1"/>
  <c r="R2842" i="25" a="1"/>
  <c r="R2842" i="25" s="1"/>
  <c r="R2841" i="25" a="1"/>
  <c r="R2841" i="25" s="1"/>
  <c r="R2840" i="25" a="1"/>
  <c r="R2840" i="25" s="1"/>
  <c r="R2839" i="25" a="1"/>
  <c r="R2839" i="25" s="1"/>
  <c r="R2838" i="25" a="1"/>
  <c r="R2838" i="25" s="1"/>
  <c r="R2837" i="25" a="1"/>
  <c r="R2837" i="25" s="1"/>
  <c r="R2836" i="25" a="1"/>
  <c r="R2836" i="25" s="1"/>
  <c r="R2835" i="25" a="1"/>
  <c r="R2835" i="25" s="1"/>
  <c r="R2834" i="25" a="1"/>
  <c r="R2834" i="25" s="1"/>
  <c r="R2833" i="25" a="1"/>
  <c r="R2833" i="25" s="1"/>
  <c r="R2832" i="25" a="1"/>
  <c r="R2832" i="25" s="1"/>
  <c r="R2831" i="25" a="1"/>
  <c r="R2831" i="25" s="1"/>
  <c r="R2830" i="25" a="1"/>
  <c r="R2830" i="25" s="1"/>
  <c r="R2829" i="25" a="1"/>
  <c r="R2829" i="25" s="1"/>
  <c r="R2828" i="25" a="1"/>
  <c r="R2828" i="25" s="1"/>
  <c r="R2827" i="25" a="1"/>
  <c r="R2827" i="25" s="1"/>
  <c r="R2826" i="25" a="1"/>
  <c r="R2826" i="25" s="1"/>
  <c r="R2825" i="25" a="1"/>
  <c r="R2825" i="25" s="1"/>
  <c r="R2824" i="25" a="1"/>
  <c r="R2824" i="25" s="1"/>
  <c r="R2823" i="25" a="1"/>
  <c r="R2823" i="25" s="1"/>
  <c r="R2822" i="25" a="1"/>
  <c r="R2822" i="25" s="1"/>
  <c r="R2821" i="25" a="1"/>
  <c r="R2821" i="25" s="1"/>
  <c r="R2820" i="25" a="1"/>
  <c r="R2820" i="25" s="1"/>
  <c r="R2819" i="25" a="1"/>
  <c r="R2819" i="25" s="1"/>
  <c r="R2818" i="25" a="1"/>
  <c r="R2818" i="25" s="1"/>
  <c r="R2817" i="25" a="1"/>
  <c r="R2817" i="25" s="1"/>
  <c r="R2816" i="25" a="1"/>
  <c r="R2816" i="25" s="1"/>
  <c r="R2815" i="25" a="1"/>
  <c r="R2815" i="25" s="1"/>
  <c r="R2814" i="25" a="1"/>
  <c r="R2814" i="25" s="1"/>
  <c r="R2813" i="25" a="1"/>
  <c r="R2813" i="25" s="1"/>
  <c r="R2812" i="25" a="1"/>
  <c r="R2812" i="25" s="1"/>
  <c r="R2811" i="25" a="1"/>
  <c r="R2811" i="25" s="1"/>
  <c r="R2810" i="25" a="1"/>
  <c r="R2810" i="25" s="1"/>
  <c r="R2809" i="25" a="1"/>
  <c r="R2809" i="25" s="1"/>
  <c r="R2808" i="25" a="1"/>
  <c r="R2808" i="25" s="1"/>
  <c r="R2807" i="25" a="1"/>
  <c r="R2807" i="25" s="1"/>
  <c r="R2806" i="25" a="1"/>
  <c r="R2806" i="25" s="1"/>
  <c r="R2805" i="25" a="1"/>
  <c r="R2805" i="25" s="1"/>
  <c r="R2804" i="25" a="1"/>
  <c r="R2804" i="25" s="1"/>
  <c r="R2803" i="25" a="1"/>
  <c r="R2803" i="25" s="1"/>
  <c r="R2802" i="25" a="1"/>
  <c r="R2802" i="25" s="1"/>
  <c r="R2801" i="25" a="1"/>
  <c r="R2801" i="25" s="1"/>
  <c r="R2800" i="25" a="1"/>
  <c r="R2800" i="25" s="1"/>
  <c r="R2799" i="25" a="1"/>
  <c r="R2799" i="25" s="1"/>
  <c r="R2798" i="25" a="1"/>
  <c r="R2798" i="25" s="1"/>
  <c r="R2797" i="25" a="1"/>
  <c r="R2797" i="25" s="1"/>
  <c r="R2796" i="25" a="1"/>
  <c r="R2796" i="25" s="1"/>
  <c r="R2795" i="25" a="1"/>
  <c r="R2795" i="25" s="1"/>
  <c r="R2794" i="25" a="1"/>
  <c r="R2794" i="25" s="1"/>
  <c r="R2793" i="25" a="1"/>
  <c r="R2793" i="25" s="1"/>
  <c r="R2792" i="25" a="1"/>
  <c r="R2792" i="25" s="1"/>
  <c r="R2791" i="25" a="1"/>
  <c r="R2791" i="25" s="1"/>
  <c r="R2790" i="25" a="1"/>
  <c r="R2790" i="25" s="1"/>
  <c r="R2789" i="25" a="1"/>
  <c r="R2789" i="25" s="1"/>
  <c r="R2788" i="25" a="1"/>
  <c r="R2788" i="25" s="1"/>
  <c r="R2787" i="25" a="1"/>
  <c r="R2787" i="25" s="1"/>
  <c r="R2786" i="25" a="1"/>
  <c r="R2786" i="25" s="1"/>
  <c r="R2785" i="25" a="1"/>
  <c r="R2785" i="25" s="1"/>
  <c r="R2784" i="25" a="1"/>
  <c r="R2784" i="25" s="1"/>
  <c r="R2783" i="25" a="1"/>
  <c r="R2783" i="25" s="1"/>
  <c r="R2782" i="25" a="1"/>
  <c r="R2782" i="25" s="1"/>
  <c r="R2781" i="25" a="1"/>
  <c r="R2781" i="25" s="1"/>
  <c r="R2780" i="25" a="1"/>
  <c r="R2780" i="25" s="1"/>
  <c r="R2779" i="25" a="1"/>
  <c r="R2779" i="25" s="1"/>
  <c r="R2778" i="25" a="1"/>
  <c r="R2778" i="25" s="1"/>
  <c r="R2777" i="25" a="1"/>
  <c r="R2777" i="25" s="1"/>
  <c r="R2776" i="25" a="1"/>
  <c r="R2776" i="25" s="1"/>
  <c r="R2775" i="25" a="1"/>
  <c r="R2775" i="25" s="1"/>
  <c r="R2774" i="25" a="1"/>
  <c r="R2774" i="25" s="1"/>
  <c r="R2773" i="25" a="1"/>
  <c r="R2773" i="25" s="1"/>
  <c r="R2772" i="25" a="1"/>
  <c r="R2772" i="25" s="1"/>
  <c r="R2771" i="25" a="1"/>
  <c r="R2771" i="25" s="1"/>
  <c r="R2770" i="25" a="1"/>
  <c r="R2770" i="25" s="1"/>
  <c r="R2769" i="25" a="1"/>
  <c r="R2769" i="25" s="1"/>
  <c r="R2768" i="25" a="1"/>
  <c r="R2768" i="25" s="1"/>
  <c r="R2767" i="25" a="1"/>
  <c r="R2767" i="25" s="1"/>
  <c r="R2766" i="25" a="1"/>
  <c r="R2766" i="25" s="1"/>
  <c r="R2765" i="25" a="1"/>
  <c r="R2765" i="25" s="1"/>
  <c r="R2764" i="25" a="1"/>
  <c r="R2764" i="25" s="1"/>
  <c r="R2763" i="25" a="1"/>
  <c r="R2763" i="25" s="1"/>
  <c r="R2762" i="25" a="1"/>
  <c r="R2762" i="25" s="1"/>
  <c r="R2761" i="25" a="1"/>
  <c r="R2761" i="25" s="1"/>
  <c r="R2760" i="25" a="1"/>
  <c r="R2760" i="25" s="1"/>
  <c r="R2759" i="25" a="1"/>
  <c r="R2759" i="25" s="1"/>
  <c r="R2758" i="25" a="1"/>
  <c r="R2758" i="25" s="1"/>
  <c r="R2757" i="25" a="1"/>
  <c r="R2757" i="25" s="1"/>
  <c r="R2756" i="25" a="1"/>
  <c r="R2756" i="25" s="1"/>
  <c r="R2755" i="25" a="1"/>
  <c r="R2755" i="25" s="1"/>
  <c r="R2754" i="25" a="1"/>
  <c r="R2754" i="25" s="1"/>
  <c r="R2753" i="25" a="1"/>
  <c r="R2753" i="25" s="1"/>
  <c r="R2752" i="25" a="1"/>
  <c r="R2752" i="25" s="1"/>
  <c r="R2751" i="25" a="1"/>
  <c r="R2751" i="25" s="1"/>
  <c r="R2750" i="25" a="1"/>
  <c r="R2750" i="25" s="1"/>
  <c r="R2749" i="25" a="1"/>
  <c r="R2749" i="25" s="1"/>
  <c r="R2748" i="25" a="1"/>
  <c r="R2748" i="25" s="1"/>
  <c r="R2747" i="25" a="1"/>
  <c r="R2747" i="25" s="1"/>
  <c r="R2746" i="25" a="1"/>
  <c r="R2746" i="25" s="1"/>
  <c r="R2745" i="25" a="1"/>
  <c r="R2745" i="25" s="1"/>
  <c r="R2744" i="25" a="1"/>
  <c r="R2744" i="25" s="1"/>
  <c r="R2743" i="25" a="1"/>
  <c r="R2743" i="25" s="1"/>
  <c r="R2742" i="25" a="1"/>
  <c r="R2742" i="25" s="1"/>
  <c r="R2741" i="25" a="1"/>
  <c r="R2741" i="25" s="1"/>
  <c r="R2740" i="25" a="1"/>
  <c r="R2740" i="25" s="1"/>
  <c r="R2739" i="25" a="1"/>
  <c r="R2739" i="25" s="1"/>
  <c r="R2738" i="25" a="1"/>
  <c r="R2738" i="25" s="1"/>
  <c r="R2737" i="25" a="1"/>
  <c r="R2737" i="25" s="1"/>
  <c r="R2736" i="25" a="1"/>
  <c r="R2736" i="25" s="1"/>
  <c r="R2735" i="25" a="1"/>
  <c r="R2735" i="25" s="1"/>
  <c r="R2734" i="25" a="1"/>
  <c r="R2734" i="25" s="1"/>
  <c r="R2733" i="25" a="1"/>
  <c r="R2733" i="25" s="1"/>
  <c r="R2732" i="25" a="1"/>
  <c r="R2732" i="25" s="1"/>
  <c r="R2731" i="25" a="1"/>
  <c r="R2731" i="25" s="1"/>
  <c r="R2730" i="25" a="1"/>
  <c r="R2730" i="25" s="1"/>
  <c r="R2729" i="25" a="1"/>
  <c r="R2729" i="25" s="1"/>
  <c r="R2728" i="25" a="1"/>
  <c r="R2728" i="25" s="1"/>
  <c r="R2727" i="25" a="1"/>
  <c r="R2727" i="25" s="1"/>
  <c r="R2726" i="25" a="1"/>
  <c r="R2726" i="25" s="1"/>
  <c r="R2725" i="25" a="1"/>
  <c r="R2725" i="25" s="1"/>
  <c r="R2724" i="25" a="1"/>
  <c r="R2724" i="25" s="1"/>
  <c r="R2723" i="25" a="1"/>
  <c r="R2723" i="25" s="1"/>
  <c r="R2722" i="25" a="1"/>
  <c r="R2722" i="25" s="1"/>
  <c r="R2721" i="25" a="1"/>
  <c r="R2721" i="25" s="1"/>
  <c r="R2720" i="25" a="1"/>
  <c r="R2720" i="25" s="1"/>
  <c r="R2719" i="25" a="1"/>
  <c r="R2719" i="25" s="1"/>
  <c r="R2718" i="25" a="1"/>
  <c r="R2718" i="25" s="1"/>
  <c r="R2717" i="25" a="1"/>
  <c r="R2717" i="25" s="1"/>
  <c r="R2716" i="25" a="1"/>
  <c r="R2716" i="25" s="1"/>
  <c r="R2715" i="25" a="1"/>
  <c r="R2715" i="25" s="1"/>
  <c r="R2714" i="25" a="1"/>
  <c r="R2714" i="25" s="1"/>
  <c r="R2713" i="25" a="1"/>
  <c r="R2713" i="25" s="1"/>
  <c r="R2712" i="25" a="1"/>
  <c r="R2712" i="25" s="1"/>
  <c r="R2711" i="25" a="1"/>
  <c r="R2711" i="25" s="1"/>
  <c r="R2710" i="25" a="1"/>
  <c r="R2710" i="25" s="1"/>
  <c r="R2709" i="25" a="1"/>
  <c r="R2709" i="25" s="1"/>
  <c r="R2708" i="25" a="1"/>
  <c r="R2708" i="25" s="1"/>
  <c r="R2707" i="25" a="1"/>
  <c r="R2707" i="25" s="1"/>
  <c r="R2706" i="25" a="1"/>
  <c r="R2706" i="25" s="1"/>
  <c r="R2705" i="25" a="1"/>
  <c r="R2705" i="25" s="1"/>
  <c r="R2704" i="25" a="1"/>
  <c r="R2704" i="25" s="1"/>
  <c r="R2703" i="25" a="1"/>
  <c r="R2703" i="25" s="1"/>
  <c r="R2702" i="25" a="1"/>
  <c r="R2702" i="25" s="1"/>
  <c r="R2701" i="25" a="1"/>
  <c r="R2701" i="25" s="1"/>
  <c r="R2700" i="25" a="1"/>
  <c r="R2700" i="25" s="1"/>
  <c r="R2699" i="25" a="1"/>
  <c r="R2699" i="25" s="1"/>
  <c r="R2698" i="25" a="1"/>
  <c r="R2698" i="25" s="1"/>
  <c r="R2697" i="25" a="1"/>
  <c r="R2697" i="25" s="1"/>
  <c r="R2696" i="25" a="1"/>
  <c r="R2696" i="25" s="1"/>
  <c r="R2695" i="25" a="1"/>
  <c r="R2695" i="25" s="1"/>
  <c r="R2694" i="25" a="1"/>
  <c r="R2694" i="25" s="1"/>
  <c r="R2693" i="25" a="1"/>
  <c r="R2693" i="25" s="1"/>
  <c r="R2692" i="25" a="1"/>
  <c r="R2692" i="25" s="1"/>
  <c r="R2691" i="25" a="1"/>
  <c r="R2691" i="25" s="1"/>
  <c r="R2690" i="25" a="1"/>
  <c r="R2690" i="25" s="1"/>
  <c r="R2689" i="25" a="1"/>
  <c r="R2689" i="25" s="1"/>
  <c r="R2688" i="25" a="1"/>
  <c r="R2688" i="25" s="1"/>
  <c r="R2687" i="25" a="1"/>
  <c r="R2687" i="25" s="1"/>
  <c r="R2686" i="25" a="1"/>
  <c r="R2686" i="25" s="1"/>
  <c r="R2685" i="25" a="1"/>
  <c r="R2685" i="25" s="1"/>
  <c r="R2684" i="25" a="1"/>
  <c r="R2684" i="25" s="1"/>
  <c r="R2683" i="25" a="1"/>
  <c r="R2683" i="25" s="1"/>
  <c r="R2682" i="25" a="1"/>
  <c r="R2682" i="25" s="1"/>
  <c r="R2681" i="25" a="1"/>
  <c r="R2681" i="25" s="1"/>
  <c r="R2680" i="25" a="1"/>
  <c r="R2680" i="25" s="1"/>
  <c r="R2679" i="25" a="1"/>
  <c r="R2679" i="25" s="1"/>
  <c r="R2678" i="25" a="1"/>
  <c r="R2678" i="25" s="1"/>
  <c r="R2677" i="25" a="1"/>
  <c r="R2677" i="25" s="1"/>
  <c r="R2676" i="25" a="1"/>
  <c r="R2676" i="25" s="1"/>
  <c r="R2675" i="25" a="1"/>
  <c r="R2675" i="25" s="1"/>
  <c r="R2674" i="25" a="1"/>
  <c r="R2674" i="25" s="1"/>
  <c r="R2673" i="25" a="1"/>
  <c r="R2673" i="25" s="1"/>
  <c r="R2672" i="25" a="1"/>
  <c r="R2672" i="25" s="1"/>
  <c r="R2671" i="25" a="1"/>
  <c r="R2671" i="25" s="1"/>
  <c r="R2670" i="25" a="1"/>
  <c r="R2670" i="25" s="1"/>
  <c r="R2669" i="25" a="1"/>
  <c r="R2669" i="25" s="1"/>
  <c r="R2668" i="25" a="1"/>
  <c r="R2668" i="25" s="1"/>
  <c r="R2667" i="25" a="1"/>
  <c r="R2667" i="25" s="1"/>
  <c r="R2666" i="25" a="1"/>
  <c r="R2666" i="25" s="1"/>
  <c r="R2665" i="25" a="1"/>
  <c r="R2665" i="25" s="1"/>
  <c r="R2664" i="25" a="1"/>
  <c r="R2664" i="25" s="1"/>
  <c r="R2663" i="25" a="1"/>
  <c r="R2663" i="25" s="1"/>
  <c r="R2662" i="25" a="1"/>
  <c r="R2662" i="25" s="1"/>
  <c r="R2661" i="25" a="1"/>
  <c r="R2661" i="25" s="1"/>
  <c r="R2660" i="25" a="1"/>
  <c r="R2660" i="25" s="1"/>
  <c r="R2659" i="25" a="1"/>
  <c r="R2659" i="25" s="1"/>
  <c r="R2658" i="25" a="1"/>
  <c r="R2658" i="25" s="1"/>
  <c r="R2657" i="25" a="1"/>
  <c r="R2657" i="25" s="1"/>
  <c r="R2656" i="25" a="1"/>
  <c r="R2656" i="25" s="1"/>
  <c r="R2655" i="25" a="1"/>
  <c r="R2655" i="25" s="1"/>
  <c r="R2654" i="25" a="1"/>
  <c r="R2654" i="25" s="1"/>
  <c r="R2653" i="25" a="1"/>
  <c r="R2653" i="25" s="1"/>
  <c r="R2652" i="25" a="1"/>
  <c r="R2652" i="25" s="1"/>
  <c r="R2651" i="25" a="1"/>
  <c r="R2651" i="25" s="1"/>
  <c r="R2650" i="25" a="1"/>
  <c r="R2650" i="25" s="1"/>
  <c r="R2649" i="25" a="1"/>
  <c r="R2649" i="25" s="1"/>
  <c r="R2648" i="25" a="1"/>
  <c r="R2648" i="25" s="1"/>
  <c r="R2647" i="25" a="1"/>
  <c r="R2647" i="25" s="1"/>
  <c r="R2646" i="25" a="1"/>
  <c r="R2646" i="25" s="1"/>
  <c r="R2645" i="25" a="1"/>
  <c r="R2645" i="25" s="1"/>
  <c r="R2644" i="25" a="1"/>
  <c r="R2644" i="25" s="1"/>
  <c r="R2643" i="25" a="1"/>
  <c r="R2643" i="25" s="1"/>
  <c r="R2642" i="25" a="1"/>
  <c r="R2642" i="25" s="1"/>
  <c r="R2641" i="25" a="1"/>
  <c r="R2641" i="25" s="1"/>
  <c r="R2640" i="25" a="1"/>
  <c r="R2640" i="25" s="1"/>
  <c r="R2639" i="25" a="1"/>
  <c r="R2639" i="25" s="1"/>
  <c r="R2638" i="25" a="1"/>
  <c r="R2638" i="25" s="1"/>
  <c r="R2637" i="25" a="1"/>
  <c r="R2637" i="25" s="1"/>
  <c r="R2636" i="25" a="1"/>
  <c r="R2636" i="25" s="1"/>
  <c r="R2635" i="25" a="1"/>
  <c r="R2635" i="25" s="1"/>
  <c r="R2634" i="25" a="1"/>
  <c r="R2634" i="25" s="1"/>
  <c r="R2633" i="25" a="1"/>
  <c r="R2633" i="25" s="1"/>
  <c r="R2632" i="25" a="1"/>
  <c r="R2632" i="25" s="1"/>
  <c r="R2631" i="25" a="1"/>
  <c r="R2631" i="25" s="1"/>
  <c r="R2630" i="25" a="1"/>
  <c r="R2630" i="25" s="1"/>
  <c r="R2629" i="25" a="1"/>
  <c r="R2629" i="25" s="1"/>
  <c r="R2628" i="25" a="1"/>
  <c r="R2628" i="25" s="1"/>
  <c r="R2627" i="25" a="1"/>
  <c r="R2627" i="25" s="1"/>
  <c r="R2626" i="25" a="1"/>
  <c r="R2626" i="25" s="1"/>
  <c r="R2625" i="25" a="1"/>
  <c r="R2625" i="25" s="1"/>
  <c r="R2624" i="25" a="1"/>
  <c r="R2624" i="25" s="1"/>
  <c r="R2623" i="25" a="1"/>
  <c r="R2623" i="25" s="1"/>
  <c r="R2622" i="25" a="1"/>
  <c r="R2622" i="25" s="1"/>
  <c r="R2621" i="25" a="1"/>
  <c r="R2621" i="25" s="1"/>
  <c r="R2620" i="25" a="1"/>
  <c r="R2620" i="25" s="1"/>
  <c r="R2619" i="25" a="1"/>
  <c r="R2619" i="25" s="1"/>
  <c r="R2618" i="25" a="1"/>
  <c r="R2618" i="25" s="1"/>
  <c r="R2617" i="25" a="1"/>
  <c r="R2617" i="25" s="1"/>
  <c r="R2616" i="25" a="1"/>
  <c r="R2616" i="25" s="1"/>
  <c r="R2615" i="25" a="1"/>
  <c r="R2615" i="25" s="1"/>
  <c r="R2614" i="25" a="1"/>
  <c r="R2614" i="25" s="1"/>
  <c r="R2613" i="25" a="1"/>
  <c r="R2613" i="25" s="1"/>
  <c r="R2612" i="25" a="1"/>
  <c r="R2612" i="25" s="1"/>
  <c r="R2611" i="25" a="1"/>
  <c r="R2611" i="25" s="1"/>
  <c r="R2610" i="25" a="1"/>
  <c r="R2610" i="25" s="1"/>
  <c r="R2609" i="25" a="1"/>
  <c r="R2609" i="25" s="1"/>
  <c r="R2608" i="25" a="1"/>
  <c r="R2608" i="25" s="1"/>
  <c r="R2607" i="25" a="1"/>
  <c r="R2607" i="25" s="1"/>
  <c r="R2606" i="25" a="1"/>
  <c r="R2606" i="25" s="1"/>
  <c r="R2605" i="25" a="1"/>
  <c r="R2605" i="25" s="1"/>
  <c r="R2604" i="25" a="1"/>
  <c r="R2604" i="25" s="1"/>
  <c r="R2603" i="25" a="1"/>
  <c r="R2603" i="25" s="1"/>
  <c r="R2602" i="25" a="1"/>
  <c r="R2602" i="25" s="1"/>
  <c r="R2601" i="25" a="1"/>
  <c r="R2601" i="25" s="1"/>
  <c r="R2600" i="25" a="1"/>
  <c r="R2600" i="25" s="1"/>
  <c r="R2599" i="25" a="1"/>
  <c r="R2599" i="25" s="1"/>
  <c r="R2598" i="25" a="1"/>
  <c r="R2598" i="25" s="1"/>
  <c r="R2597" i="25" a="1"/>
  <c r="R2597" i="25" s="1"/>
  <c r="R2596" i="25" a="1"/>
  <c r="R2596" i="25" s="1"/>
  <c r="R2595" i="25" a="1"/>
  <c r="R2595" i="25" s="1"/>
  <c r="R2594" i="25" a="1"/>
  <c r="R2594" i="25" s="1"/>
  <c r="R2593" i="25" a="1"/>
  <c r="R2593" i="25" s="1"/>
  <c r="R2592" i="25" a="1"/>
  <c r="R2592" i="25" s="1"/>
  <c r="R2591" i="25" a="1"/>
  <c r="R2591" i="25" s="1"/>
  <c r="R2590" i="25" a="1"/>
  <c r="R2590" i="25" s="1"/>
  <c r="R2589" i="25" a="1"/>
  <c r="R2589" i="25" s="1"/>
  <c r="R2588" i="25" a="1"/>
  <c r="R2588" i="25" s="1"/>
  <c r="R2587" i="25" a="1"/>
  <c r="R2587" i="25" s="1"/>
  <c r="R2586" i="25" a="1"/>
  <c r="R2586" i="25" s="1"/>
  <c r="R2585" i="25" a="1"/>
  <c r="R2585" i="25" s="1"/>
  <c r="R2584" i="25" a="1"/>
  <c r="R2584" i="25" s="1"/>
  <c r="R2583" i="25" a="1"/>
  <c r="R2583" i="25" s="1"/>
  <c r="R2582" i="25" a="1"/>
  <c r="R2582" i="25" s="1"/>
  <c r="R2581" i="25" a="1"/>
  <c r="R2581" i="25" s="1"/>
  <c r="R2580" i="25" a="1"/>
  <c r="R2580" i="25" s="1"/>
  <c r="R2579" i="25" a="1"/>
  <c r="R2579" i="25" s="1"/>
  <c r="R2578" i="25" a="1"/>
  <c r="R2578" i="25" s="1"/>
  <c r="R2577" i="25" a="1"/>
  <c r="R2577" i="25" s="1"/>
  <c r="R2576" i="25" a="1"/>
  <c r="R2576" i="25" s="1"/>
  <c r="R2575" i="25" a="1"/>
  <c r="R2575" i="25" s="1"/>
  <c r="R2574" i="25" a="1"/>
  <c r="R2574" i="25" s="1"/>
  <c r="R2573" i="25" a="1"/>
  <c r="R2573" i="25" s="1"/>
  <c r="R2572" i="25" a="1"/>
  <c r="R2572" i="25" s="1"/>
  <c r="R2571" i="25" a="1"/>
  <c r="R2571" i="25" s="1"/>
  <c r="R2570" i="25" a="1"/>
  <c r="R2570" i="25" s="1"/>
  <c r="R2569" i="25" a="1"/>
  <c r="R2569" i="25" s="1"/>
  <c r="R2568" i="25" a="1"/>
  <c r="R2568" i="25" s="1"/>
  <c r="R2567" i="25" a="1"/>
  <c r="R2567" i="25" s="1"/>
  <c r="R2566" i="25" a="1"/>
  <c r="R2566" i="25" s="1"/>
  <c r="R2565" i="25" a="1"/>
  <c r="R2565" i="25" s="1"/>
  <c r="R2564" i="25" a="1"/>
  <c r="R2564" i="25" s="1"/>
  <c r="R2563" i="25" a="1"/>
  <c r="R2563" i="25" s="1"/>
  <c r="R2562" i="25" a="1"/>
  <c r="R2562" i="25" s="1"/>
  <c r="R2561" i="25" a="1"/>
  <c r="R2561" i="25" s="1"/>
  <c r="R2560" i="25" a="1"/>
  <c r="R2560" i="25" s="1"/>
  <c r="R2559" i="25" a="1"/>
  <c r="R2559" i="25" s="1"/>
  <c r="R2558" i="25" a="1"/>
  <c r="R2558" i="25" s="1"/>
  <c r="R2557" i="25" a="1"/>
  <c r="R2557" i="25" s="1"/>
  <c r="R2556" i="25" a="1"/>
  <c r="R2556" i="25" s="1"/>
  <c r="R2555" i="25" a="1"/>
  <c r="R2555" i="25" s="1"/>
  <c r="R2554" i="25" a="1"/>
  <c r="R2554" i="25" s="1"/>
  <c r="R2553" i="25" a="1"/>
  <c r="R2553" i="25" s="1"/>
  <c r="R2552" i="25" a="1"/>
  <c r="R2552" i="25" s="1"/>
  <c r="R2551" i="25" a="1"/>
  <c r="R2551" i="25" s="1"/>
  <c r="R2550" i="25" a="1"/>
  <c r="R2550" i="25" s="1"/>
  <c r="R2549" i="25" a="1"/>
  <c r="R2549" i="25" s="1"/>
  <c r="R2548" i="25" a="1"/>
  <c r="R2548" i="25" s="1"/>
  <c r="R2547" i="25" a="1"/>
  <c r="R2547" i="25" s="1"/>
  <c r="R2546" i="25" a="1"/>
  <c r="R2546" i="25" s="1"/>
  <c r="R2545" i="25" a="1"/>
  <c r="R2545" i="25" s="1"/>
  <c r="R2544" i="25" a="1"/>
  <c r="R2544" i="25" s="1"/>
  <c r="R2543" i="25" a="1"/>
  <c r="R2543" i="25" s="1"/>
  <c r="R2542" i="25" a="1"/>
  <c r="R2542" i="25" s="1"/>
  <c r="R2541" i="25" a="1"/>
  <c r="R2541" i="25" s="1"/>
  <c r="R2540" i="25" a="1"/>
  <c r="R2540" i="25" s="1"/>
  <c r="R2539" i="25" a="1"/>
  <c r="R2539" i="25" s="1"/>
  <c r="R2538" i="25" a="1"/>
  <c r="R2538" i="25" s="1"/>
  <c r="R2537" i="25" a="1"/>
  <c r="R2537" i="25" s="1"/>
  <c r="R2536" i="25" a="1"/>
  <c r="R2536" i="25" s="1"/>
  <c r="R2535" i="25" a="1"/>
  <c r="R2535" i="25" s="1"/>
  <c r="R2534" i="25" a="1"/>
  <c r="R2534" i="25" s="1"/>
  <c r="R2533" i="25" a="1"/>
  <c r="R2533" i="25" s="1"/>
  <c r="R2532" i="25" a="1"/>
  <c r="R2532" i="25" s="1"/>
  <c r="R2531" i="25" a="1"/>
  <c r="R2531" i="25" s="1"/>
  <c r="R2530" i="25" a="1"/>
  <c r="R2530" i="25" s="1"/>
  <c r="R2529" i="25" a="1"/>
  <c r="R2529" i="25" s="1"/>
  <c r="R2528" i="25" a="1"/>
  <c r="R2528" i="25" s="1"/>
  <c r="R2527" i="25" a="1"/>
  <c r="R2527" i="25" s="1"/>
  <c r="R2526" i="25" a="1"/>
  <c r="R2526" i="25" s="1"/>
  <c r="R2525" i="25" a="1"/>
  <c r="R2525" i="25" s="1"/>
  <c r="R2524" i="25" a="1"/>
  <c r="R2524" i="25" s="1"/>
  <c r="R2523" i="25" a="1"/>
  <c r="R2523" i="25" s="1"/>
  <c r="R2522" i="25" a="1"/>
  <c r="R2522" i="25" s="1"/>
  <c r="R2521" i="25" a="1"/>
  <c r="R2521" i="25" s="1"/>
  <c r="R2520" i="25" a="1"/>
  <c r="R2520" i="25" s="1"/>
  <c r="R2519" i="25" a="1"/>
  <c r="R2519" i="25" s="1"/>
  <c r="R2518" i="25" a="1"/>
  <c r="R2518" i="25" s="1"/>
  <c r="R2517" i="25" a="1"/>
  <c r="R2517" i="25" s="1"/>
  <c r="R2516" i="25" a="1"/>
  <c r="R2516" i="25" s="1"/>
  <c r="R2515" i="25" a="1"/>
  <c r="R2515" i="25" s="1"/>
  <c r="R2514" i="25" a="1"/>
  <c r="R2514" i="25" s="1"/>
  <c r="R2513" i="25" a="1"/>
  <c r="R2513" i="25" s="1"/>
  <c r="R2512" i="25" a="1"/>
  <c r="R2512" i="25" s="1"/>
  <c r="R2511" i="25" a="1"/>
  <c r="R2511" i="25" s="1"/>
  <c r="R2510" i="25" a="1"/>
  <c r="R2510" i="25" s="1"/>
  <c r="R2509" i="25" a="1"/>
  <c r="R2509" i="25" s="1"/>
  <c r="R2508" i="25" a="1"/>
  <c r="R2508" i="25" s="1"/>
  <c r="R2507" i="25" a="1"/>
  <c r="R2507" i="25" s="1"/>
  <c r="R2506" i="25" a="1"/>
  <c r="R2506" i="25" s="1"/>
  <c r="R2505" i="25" a="1"/>
  <c r="R2505" i="25" s="1"/>
  <c r="R2504" i="25" a="1"/>
  <c r="R2504" i="25" s="1"/>
  <c r="R2503" i="25" a="1"/>
  <c r="R2503" i="25" s="1"/>
  <c r="R2502" i="25" a="1"/>
  <c r="R2502" i="25" s="1"/>
  <c r="R2501" i="25" a="1"/>
  <c r="R2501" i="25" s="1"/>
  <c r="R2500" i="25" a="1"/>
  <c r="R2500" i="25" s="1"/>
  <c r="R2499" i="25" a="1"/>
  <c r="R2499" i="25" s="1"/>
  <c r="R2498" i="25" a="1"/>
  <c r="R2498" i="25" s="1"/>
  <c r="R2497" i="25" a="1"/>
  <c r="R2497" i="25" s="1"/>
  <c r="R2496" i="25" a="1"/>
  <c r="R2496" i="25" s="1"/>
  <c r="R2495" i="25" a="1"/>
  <c r="R2495" i="25" s="1"/>
  <c r="R2494" i="25" a="1"/>
  <c r="R2494" i="25" s="1"/>
  <c r="R2493" i="25" a="1"/>
  <c r="R2493" i="25" s="1"/>
  <c r="R2492" i="25" a="1"/>
  <c r="R2492" i="25" s="1"/>
  <c r="R2491" i="25" a="1"/>
  <c r="R2491" i="25" s="1"/>
  <c r="R2490" i="25" a="1"/>
  <c r="R2490" i="25" s="1"/>
  <c r="R2489" i="25" a="1"/>
  <c r="R2489" i="25" s="1"/>
  <c r="R2488" i="25" a="1"/>
  <c r="R2488" i="25" s="1"/>
  <c r="R2487" i="25" a="1"/>
  <c r="R2487" i="25" s="1"/>
  <c r="R2486" i="25" a="1"/>
  <c r="R2486" i="25" s="1"/>
  <c r="R2485" i="25" a="1"/>
  <c r="R2485" i="25" s="1"/>
  <c r="R2484" i="25" a="1"/>
  <c r="R2484" i="25" s="1"/>
  <c r="R2483" i="25" a="1"/>
  <c r="R2483" i="25" s="1"/>
  <c r="R2482" i="25" a="1"/>
  <c r="R2482" i="25" s="1"/>
  <c r="R2481" i="25" a="1"/>
  <c r="R2481" i="25" s="1"/>
  <c r="R2480" i="25" a="1"/>
  <c r="R2480" i="25" s="1"/>
  <c r="R2479" i="25" a="1"/>
  <c r="R2479" i="25" s="1"/>
  <c r="R2478" i="25" a="1"/>
  <c r="R2478" i="25" s="1"/>
  <c r="R2477" i="25" a="1"/>
  <c r="R2477" i="25" s="1"/>
  <c r="R2476" i="25" a="1"/>
  <c r="R2476" i="25" s="1"/>
  <c r="R2475" i="25" a="1"/>
  <c r="R2475" i="25" s="1"/>
  <c r="R2474" i="25" a="1"/>
  <c r="R2474" i="25" s="1"/>
  <c r="R2473" i="25" a="1"/>
  <c r="R2473" i="25" s="1"/>
  <c r="R2472" i="25" a="1"/>
  <c r="R2472" i="25" s="1"/>
  <c r="R2471" i="25" a="1"/>
  <c r="R2471" i="25" s="1"/>
  <c r="R2470" i="25" a="1"/>
  <c r="R2470" i="25" s="1"/>
  <c r="R2469" i="25" a="1"/>
  <c r="R2469" i="25" s="1"/>
  <c r="R2468" i="25" a="1"/>
  <c r="R2468" i="25" s="1"/>
  <c r="R2467" i="25" a="1"/>
  <c r="R2467" i="25" s="1"/>
  <c r="R2466" i="25" a="1"/>
  <c r="R2466" i="25" s="1"/>
  <c r="R2465" i="25" a="1"/>
  <c r="R2465" i="25" s="1"/>
  <c r="R2464" i="25" a="1"/>
  <c r="R2464" i="25" s="1"/>
  <c r="R2463" i="25" a="1"/>
  <c r="R2463" i="25" s="1"/>
  <c r="R2462" i="25" a="1"/>
  <c r="R2462" i="25" s="1"/>
  <c r="R2461" i="25" a="1"/>
  <c r="R2461" i="25" s="1"/>
  <c r="R2460" i="25" a="1"/>
  <c r="R2460" i="25" s="1"/>
  <c r="R2459" i="25" a="1"/>
  <c r="R2459" i="25" s="1"/>
  <c r="R2458" i="25" a="1"/>
  <c r="R2458" i="25" s="1"/>
  <c r="R2457" i="25" a="1"/>
  <c r="R2457" i="25" s="1"/>
  <c r="R2456" i="25" a="1"/>
  <c r="R2456" i="25" s="1"/>
  <c r="R2455" i="25" a="1"/>
  <c r="R2455" i="25" s="1"/>
  <c r="R2454" i="25" a="1"/>
  <c r="R2454" i="25" s="1"/>
  <c r="R2453" i="25" a="1"/>
  <c r="R2453" i="25" s="1"/>
  <c r="R2452" i="25" a="1"/>
  <c r="R2452" i="25" s="1"/>
  <c r="R2451" i="25" a="1"/>
  <c r="R2451" i="25" s="1"/>
  <c r="R2450" i="25" a="1"/>
  <c r="R2450" i="25" s="1"/>
  <c r="R2449" i="25" a="1"/>
  <c r="R2449" i="25" s="1"/>
  <c r="R2448" i="25" a="1"/>
  <c r="R2448" i="25" s="1"/>
  <c r="R2447" i="25" a="1"/>
  <c r="R2447" i="25" s="1"/>
  <c r="R2446" i="25" a="1"/>
  <c r="R2446" i="25" s="1"/>
  <c r="R2445" i="25" a="1"/>
  <c r="R2445" i="25" s="1"/>
  <c r="R2444" i="25" a="1"/>
  <c r="R2444" i="25" s="1"/>
  <c r="R2443" i="25" a="1"/>
  <c r="R2443" i="25" s="1"/>
  <c r="R2442" i="25" a="1"/>
  <c r="R2442" i="25" s="1"/>
  <c r="R2441" i="25" a="1"/>
  <c r="R2441" i="25" s="1"/>
  <c r="R2440" i="25" a="1"/>
  <c r="R2440" i="25" s="1"/>
  <c r="R2439" i="25" a="1"/>
  <c r="R2439" i="25" s="1"/>
  <c r="R2438" i="25" a="1"/>
  <c r="R2438" i="25" s="1"/>
  <c r="R2437" i="25" a="1"/>
  <c r="R2437" i="25" s="1"/>
  <c r="R2436" i="25" a="1"/>
  <c r="R2436" i="25" s="1"/>
  <c r="R2435" i="25" a="1"/>
  <c r="R2435" i="25" s="1"/>
  <c r="R2434" i="25" a="1"/>
  <c r="R2434" i="25" s="1"/>
  <c r="R2433" i="25" a="1"/>
  <c r="R2433" i="25" s="1"/>
  <c r="R2432" i="25" a="1"/>
  <c r="R2432" i="25" s="1"/>
  <c r="R2431" i="25" a="1"/>
  <c r="R2431" i="25" s="1"/>
  <c r="R2430" i="25" a="1"/>
  <c r="R2430" i="25" s="1"/>
  <c r="R2429" i="25" a="1"/>
  <c r="R2429" i="25" s="1"/>
  <c r="R2428" i="25" a="1"/>
  <c r="R2428" i="25" s="1"/>
  <c r="R2427" i="25" a="1"/>
  <c r="R2427" i="25" s="1"/>
  <c r="R2426" i="25" a="1"/>
  <c r="R2426" i="25" s="1"/>
  <c r="R2425" i="25" a="1"/>
  <c r="R2425" i="25" s="1"/>
  <c r="R2424" i="25" a="1"/>
  <c r="R2424" i="25" s="1"/>
  <c r="R2423" i="25" a="1"/>
  <c r="R2423" i="25" s="1"/>
  <c r="R2422" i="25" a="1"/>
  <c r="R2422" i="25" s="1"/>
  <c r="R2421" i="25" a="1"/>
  <c r="R2421" i="25" s="1"/>
  <c r="R2420" i="25" a="1"/>
  <c r="R2420" i="25" s="1"/>
  <c r="R2419" i="25" a="1"/>
  <c r="R2419" i="25" s="1"/>
  <c r="R2418" i="25" a="1"/>
  <c r="R2418" i="25" s="1"/>
  <c r="R2417" i="25" a="1"/>
  <c r="R2417" i="25" s="1"/>
  <c r="R2416" i="25" a="1"/>
  <c r="R2416" i="25" s="1"/>
  <c r="R2415" i="25" a="1"/>
  <c r="R2415" i="25" s="1"/>
  <c r="R2414" i="25" a="1"/>
  <c r="R2414" i="25" s="1"/>
  <c r="R2413" i="25" a="1"/>
  <c r="R2413" i="25" s="1"/>
  <c r="R2412" i="25" a="1"/>
  <c r="R2412" i="25" s="1"/>
  <c r="R2411" i="25" a="1"/>
  <c r="R2411" i="25" s="1"/>
  <c r="R2410" i="25" a="1"/>
  <c r="R2410" i="25" s="1"/>
  <c r="R2409" i="25" a="1"/>
  <c r="R2409" i="25" s="1"/>
  <c r="R2408" i="25" a="1"/>
  <c r="R2408" i="25" s="1"/>
  <c r="R2407" i="25" a="1"/>
  <c r="R2407" i="25" s="1"/>
  <c r="R2406" i="25" a="1"/>
  <c r="R2406" i="25" s="1"/>
  <c r="R2405" i="25" a="1"/>
  <c r="R2405" i="25" s="1"/>
  <c r="R2404" i="25" a="1"/>
  <c r="R2404" i="25" s="1"/>
  <c r="R2403" i="25" a="1"/>
  <c r="R2403" i="25" s="1"/>
  <c r="R2402" i="25" a="1"/>
  <c r="R2402" i="25" s="1"/>
  <c r="R2401" i="25" a="1"/>
  <c r="R2401" i="25" s="1"/>
  <c r="R2400" i="25" a="1"/>
  <c r="R2400" i="25" s="1"/>
  <c r="R2399" i="25" a="1"/>
  <c r="R2399" i="25" s="1"/>
  <c r="R2398" i="25" a="1"/>
  <c r="R2398" i="25" s="1"/>
  <c r="R2397" i="25" a="1"/>
  <c r="R2397" i="25" s="1"/>
  <c r="R2396" i="25" a="1"/>
  <c r="R2396" i="25" s="1"/>
  <c r="R2395" i="25" a="1"/>
  <c r="R2395" i="25" s="1"/>
  <c r="R2394" i="25" a="1"/>
  <c r="R2394" i="25" s="1"/>
  <c r="R2393" i="25" a="1"/>
  <c r="R2393" i="25" s="1"/>
  <c r="R2392" i="25" a="1"/>
  <c r="R2392" i="25" s="1"/>
  <c r="R2391" i="25" a="1"/>
  <c r="R2391" i="25" s="1"/>
  <c r="R2390" i="25" a="1"/>
  <c r="R2390" i="25" s="1"/>
  <c r="R2389" i="25" a="1"/>
  <c r="R2389" i="25" s="1"/>
  <c r="R2388" i="25" a="1"/>
  <c r="R2388" i="25" s="1"/>
  <c r="R2387" i="25" a="1"/>
  <c r="R2387" i="25" s="1"/>
  <c r="R2386" i="25" a="1"/>
  <c r="R2386" i="25" s="1"/>
  <c r="R2385" i="25" a="1"/>
  <c r="R2385" i="25" s="1"/>
  <c r="R2384" i="25" a="1"/>
  <c r="R2384" i="25" s="1"/>
  <c r="R2383" i="25" a="1"/>
  <c r="R2383" i="25" s="1"/>
  <c r="R2382" i="25" a="1"/>
  <c r="R2382" i="25" s="1"/>
  <c r="R2381" i="25" a="1"/>
  <c r="R2381" i="25" s="1"/>
  <c r="R2380" i="25" a="1"/>
  <c r="R2380" i="25" s="1"/>
  <c r="R2379" i="25" a="1"/>
  <c r="R2379" i="25" s="1"/>
  <c r="R2378" i="25" a="1"/>
  <c r="R2378" i="25" s="1"/>
  <c r="R2377" i="25" a="1"/>
  <c r="R2377" i="25" s="1"/>
  <c r="R2376" i="25" a="1"/>
  <c r="R2376" i="25" s="1"/>
  <c r="R2375" i="25" a="1"/>
  <c r="R2375" i="25" s="1"/>
  <c r="R2374" i="25" a="1"/>
  <c r="R2374" i="25" s="1"/>
  <c r="R2373" i="25" a="1"/>
  <c r="R2373" i="25" s="1"/>
  <c r="R2372" i="25" a="1"/>
  <c r="R2372" i="25" s="1"/>
  <c r="R2371" i="25" a="1"/>
  <c r="R2371" i="25" s="1"/>
  <c r="R2370" i="25" a="1"/>
  <c r="R2370" i="25" s="1"/>
  <c r="R2369" i="25" a="1"/>
  <c r="R2369" i="25" s="1"/>
  <c r="R2368" i="25" a="1"/>
  <c r="R2368" i="25" s="1"/>
  <c r="R2367" i="25" a="1"/>
  <c r="R2367" i="25" s="1"/>
  <c r="R2366" i="25" a="1"/>
  <c r="R2366" i="25" s="1"/>
  <c r="R2365" i="25" a="1"/>
  <c r="R2365" i="25" s="1"/>
  <c r="R2364" i="25" a="1"/>
  <c r="R2364" i="25" s="1"/>
  <c r="R2363" i="25" a="1"/>
  <c r="R2363" i="25" s="1"/>
  <c r="R2362" i="25" a="1"/>
  <c r="R2362" i="25" s="1"/>
  <c r="R2361" i="25" a="1"/>
  <c r="R2361" i="25" s="1"/>
  <c r="R2360" i="25" a="1"/>
  <c r="R2360" i="25" s="1"/>
  <c r="R2359" i="25" a="1"/>
  <c r="R2359" i="25" s="1"/>
  <c r="R2358" i="25" a="1"/>
  <c r="R2358" i="25" s="1"/>
  <c r="R2357" i="25" a="1"/>
  <c r="R2357" i="25" s="1"/>
  <c r="R2356" i="25" a="1"/>
  <c r="R2356" i="25" s="1"/>
  <c r="R2355" i="25" a="1"/>
  <c r="R2355" i="25" s="1"/>
  <c r="R2354" i="25" a="1"/>
  <c r="R2354" i="25" s="1"/>
  <c r="R2353" i="25" a="1"/>
  <c r="R2353" i="25" s="1"/>
  <c r="R2352" i="25" a="1"/>
  <c r="R2352" i="25" s="1"/>
  <c r="R2351" i="25" a="1"/>
  <c r="R2351" i="25" s="1"/>
  <c r="R2350" i="25" a="1"/>
  <c r="R2350" i="25" s="1"/>
  <c r="R2349" i="25" a="1"/>
  <c r="R2349" i="25" s="1"/>
  <c r="R2348" i="25" a="1"/>
  <c r="R2348" i="25" s="1"/>
  <c r="R2347" i="25" a="1"/>
  <c r="R2347" i="25" s="1"/>
  <c r="R2346" i="25" a="1"/>
  <c r="R2346" i="25" s="1"/>
  <c r="R2345" i="25" a="1"/>
  <c r="R2345" i="25" s="1"/>
  <c r="R2344" i="25" a="1"/>
  <c r="R2344" i="25" s="1"/>
  <c r="R2343" i="25" a="1"/>
  <c r="R2343" i="25" s="1"/>
  <c r="R2342" i="25" a="1"/>
  <c r="R2342" i="25" s="1"/>
  <c r="R2341" i="25" a="1"/>
  <c r="R2341" i="25" s="1"/>
  <c r="R2340" i="25" a="1"/>
  <c r="R2340" i="25" s="1"/>
  <c r="R2339" i="25" a="1"/>
  <c r="R2339" i="25" s="1"/>
  <c r="R2338" i="25" a="1"/>
  <c r="R2338" i="25" s="1"/>
  <c r="R2337" i="25" a="1"/>
  <c r="R2337" i="25" s="1"/>
  <c r="R2336" i="25" a="1"/>
  <c r="R2336" i="25" s="1"/>
  <c r="R2335" i="25" a="1"/>
  <c r="R2335" i="25" s="1"/>
  <c r="R2334" i="25" a="1"/>
  <c r="R2334" i="25" s="1"/>
  <c r="R2333" i="25" a="1"/>
  <c r="R2333" i="25" s="1"/>
  <c r="R2332" i="25" a="1"/>
  <c r="R2332" i="25" s="1"/>
  <c r="R2331" i="25" a="1"/>
  <c r="R2331" i="25" s="1"/>
  <c r="R2330" i="25" a="1"/>
  <c r="R2330" i="25" s="1"/>
  <c r="R2329" i="25" a="1"/>
  <c r="R2329" i="25" s="1"/>
  <c r="R2328" i="25" a="1"/>
  <c r="R2328" i="25" s="1"/>
  <c r="R2327" i="25" a="1"/>
  <c r="R2327" i="25" s="1"/>
  <c r="R2326" i="25" a="1"/>
  <c r="R2326" i="25" s="1"/>
  <c r="R2325" i="25" a="1"/>
  <c r="R2325" i="25" s="1"/>
  <c r="R2324" i="25" a="1"/>
  <c r="R2324" i="25" s="1"/>
  <c r="R2323" i="25" a="1"/>
  <c r="R2323" i="25" s="1"/>
  <c r="R2322" i="25" a="1"/>
  <c r="R2322" i="25" s="1"/>
  <c r="R2321" i="25" a="1"/>
  <c r="R2321" i="25" s="1"/>
  <c r="R2320" i="25" a="1"/>
  <c r="R2320" i="25" s="1"/>
  <c r="R2319" i="25" a="1"/>
  <c r="R2319" i="25" s="1"/>
  <c r="R2318" i="25" a="1"/>
  <c r="R2318" i="25" s="1"/>
  <c r="R2317" i="25" a="1"/>
  <c r="R2317" i="25" s="1"/>
  <c r="R2316" i="25" a="1"/>
  <c r="R2316" i="25" s="1"/>
  <c r="R2315" i="25" a="1"/>
  <c r="R2315" i="25" s="1"/>
  <c r="R2314" i="25" a="1"/>
  <c r="R2314" i="25" s="1"/>
  <c r="R2313" i="25" a="1"/>
  <c r="R2313" i="25" s="1"/>
  <c r="R2312" i="25" a="1"/>
  <c r="R2312" i="25" s="1"/>
  <c r="R2311" i="25" a="1"/>
  <c r="R2311" i="25" s="1"/>
  <c r="R2310" i="25" a="1"/>
  <c r="R2310" i="25" s="1"/>
  <c r="R2309" i="25" a="1"/>
  <c r="R2309" i="25" s="1"/>
  <c r="R2308" i="25" a="1"/>
  <c r="R2308" i="25" s="1"/>
  <c r="R2307" i="25" a="1"/>
  <c r="R2307" i="25" s="1"/>
  <c r="R2306" i="25" a="1"/>
  <c r="R2306" i="25" s="1"/>
  <c r="R2305" i="25" a="1"/>
  <c r="R2305" i="25" s="1"/>
  <c r="R2304" i="25" a="1"/>
  <c r="R2304" i="25" s="1"/>
  <c r="R2303" i="25" a="1"/>
  <c r="R2303" i="25" s="1"/>
  <c r="R2302" i="25" a="1"/>
  <c r="R2302" i="25" s="1"/>
  <c r="R2301" i="25" a="1"/>
  <c r="R2301" i="25" s="1"/>
  <c r="R2300" i="25" a="1"/>
  <c r="R2300" i="25" s="1"/>
  <c r="R2299" i="25" a="1"/>
  <c r="R2299" i="25" s="1"/>
  <c r="R2298" i="25" a="1"/>
  <c r="R2298" i="25" s="1"/>
  <c r="R2297" i="25" a="1"/>
  <c r="R2297" i="25" s="1"/>
  <c r="R2296" i="25" a="1"/>
  <c r="R2296" i="25" s="1"/>
  <c r="R2295" i="25" a="1"/>
  <c r="R2295" i="25" s="1"/>
  <c r="R2294" i="25" a="1"/>
  <c r="R2294" i="25" s="1"/>
  <c r="R2293" i="25" a="1"/>
  <c r="R2293" i="25" s="1"/>
  <c r="R2292" i="25" a="1"/>
  <c r="R2292" i="25" s="1"/>
  <c r="R2291" i="25" a="1"/>
  <c r="R2291" i="25" s="1"/>
  <c r="R2290" i="25" a="1"/>
  <c r="R2290" i="25" s="1"/>
  <c r="R2289" i="25" a="1"/>
  <c r="R2289" i="25" s="1"/>
  <c r="R2288" i="25" a="1"/>
  <c r="R2288" i="25" s="1"/>
  <c r="R2287" i="25" a="1"/>
  <c r="R2287" i="25" s="1"/>
  <c r="R2286" i="25" a="1"/>
  <c r="R2286" i="25" s="1"/>
  <c r="R2285" i="25" a="1"/>
  <c r="R2285" i="25" s="1"/>
  <c r="R2284" i="25" a="1"/>
  <c r="R2284" i="25" s="1"/>
  <c r="R2283" i="25" a="1"/>
  <c r="R2283" i="25" s="1"/>
  <c r="R2282" i="25" a="1"/>
  <c r="R2282" i="25" s="1"/>
  <c r="R2281" i="25" a="1"/>
  <c r="R2281" i="25" s="1"/>
  <c r="R2280" i="25" a="1"/>
  <c r="R2280" i="25" s="1"/>
  <c r="R2279" i="25" a="1"/>
  <c r="R2279" i="25" s="1"/>
  <c r="R2278" i="25" a="1"/>
  <c r="R2278" i="25" s="1"/>
  <c r="R2277" i="25" a="1"/>
  <c r="R2277" i="25" s="1"/>
  <c r="R2276" i="25" a="1"/>
  <c r="R2276" i="25" s="1"/>
  <c r="R2275" i="25" a="1"/>
  <c r="R2275" i="25" s="1"/>
  <c r="R2274" i="25" a="1"/>
  <c r="R2274" i="25" s="1"/>
  <c r="R2273" i="25" a="1"/>
  <c r="R2273" i="25" s="1"/>
  <c r="R2272" i="25" a="1"/>
  <c r="R2272" i="25" s="1"/>
  <c r="R2271" i="25" a="1"/>
  <c r="R2271" i="25" s="1"/>
  <c r="R2270" i="25" a="1"/>
  <c r="R2270" i="25" s="1"/>
  <c r="R2269" i="25" a="1"/>
  <c r="R2269" i="25" s="1"/>
  <c r="R2268" i="25" a="1"/>
  <c r="R2268" i="25" s="1"/>
  <c r="R2267" i="25" a="1"/>
  <c r="R2267" i="25" s="1"/>
  <c r="R2266" i="25" a="1"/>
  <c r="R2266" i="25" s="1"/>
  <c r="R2265" i="25" a="1"/>
  <c r="R2265" i="25" s="1"/>
  <c r="R2264" i="25" a="1"/>
  <c r="R2264" i="25" s="1"/>
  <c r="R2263" i="25" a="1"/>
  <c r="R2263" i="25" s="1"/>
  <c r="R2262" i="25" a="1"/>
  <c r="R2262" i="25" s="1"/>
  <c r="R2261" i="25" a="1"/>
  <c r="R2261" i="25" s="1"/>
  <c r="R2260" i="25" a="1"/>
  <c r="R2260" i="25" s="1"/>
  <c r="R2259" i="25" a="1"/>
  <c r="R2259" i="25" s="1"/>
  <c r="R2258" i="25" a="1"/>
  <c r="R2258" i="25" s="1"/>
  <c r="R2257" i="25" a="1"/>
  <c r="R2257" i="25" s="1"/>
  <c r="R2256" i="25" a="1"/>
  <c r="R2256" i="25" s="1"/>
  <c r="R2255" i="25" a="1"/>
  <c r="R2255" i="25" s="1"/>
  <c r="R2254" i="25" a="1"/>
  <c r="R2254" i="25" s="1"/>
  <c r="R2253" i="25" a="1"/>
  <c r="R2253" i="25" s="1"/>
  <c r="R2252" i="25" a="1"/>
  <c r="R2252" i="25" s="1"/>
  <c r="R2251" i="25" a="1"/>
  <c r="R2251" i="25" s="1"/>
  <c r="R2250" i="25" a="1"/>
  <c r="R2250" i="25" s="1"/>
  <c r="R2249" i="25" a="1"/>
  <c r="R2249" i="25" s="1"/>
  <c r="R2248" i="25" a="1"/>
  <c r="R2248" i="25" s="1"/>
  <c r="R2247" i="25" a="1"/>
  <c r="R2247" i="25" s="1"/>
  <c r="R2246" i="25" a="1"/>
  <c r="R2246" i="25" s="1"/>
  <c r="R2245" i="25" a="1"/>
  <c r="R2245" i="25" s="1"/>
  <c r="R2244" i="25" a="1"/>
  <c r="R2244" i="25" s="1"/>
  <c r="R2243" i="25" a="1"/>
  <c r="R2243" i="25" s="1"/>
  <c r="R2242" i="25" a="1"/>
  <c r="R2242" i="25" s="1"/>
  <c r="R2241" i="25" a="1"/>
  <c r="R2241" i="25" s="1"/>
  <c r="R2240" i="25" a="1"/>
  <c r="R2240" i="25" s="1"/>
  <c r="R2239" i="25" a="1"/>
  <c r="R2239" i="25" s="1"/>
  <c r="R2238" i="25" a="1"/>
  <c r="R2238" i="25" s="1"/>
  <c r="R2237" i="25" a="1"/>
  <c r="R2237" i="25" s="1"/>
  <c r="R2236" i="25" a="1"/>
  <c r="R2236" i="25" s="1"/>
  <c r="R2235" i="25" a="1"/>
  <c r="R2235" i="25" s="1"/>
  <c r="R2234" i="25" a="1"/>
  <c r="R2234" i="25" s="1"/>
  <c r="R2233" i="25" a="1"/>
  <c r="R2233" i="25" s="1"/>
  <c r="R2232" i="25" a="1"/>
  <c r="R2232" i="25" s="1"/>
  <c r="R2231" i="25" a="1"/>
  <c r="R2231" i="25" s="1"/>
  <c r="R2230" i="25" a="1"/>
  <c r="R2230" i="25" s="1"/>
  <c r="R2229" i="25" a="1"/>
  <c r="R2229" i="25" s="1"/>
  <c r="R2228" i="25" a="1"/>
  <c r="R2228" i="25" s="1"/>
  <c r="R2227" i="25" a="1"/>
  <c r="R2227" i="25" s="1"/>
  <c r="R2226" i="25" a="1"/>
  <c r="R2226" i="25" s="1"/>
  <c r="R2225" i="25" a="1"/>
  <c r="R2225" i="25" s="1"/>
  <c r="R2224" i="25" a="1"/>
  <c r="R2224" i="25" s="1"/>
  <c r="R2223" i="25" a="1"/>
  <c r="R2223" i="25" s="1"/>
  <c r="R2222" i="25" a="1"/>
  <c r="R2222" i="25" s="1"/>
  <c r="R2221" i="25" a="1"/>
  <c r="R2221" i="25" s="1"/>
  <c r="R2220" i="25" a="1"/>
  <c r="R2220" i="25" s="1"/>
  <c r="R2219" i="25" a="1"/>
  <c r="R2219" i="25" s="1"/>
  <c r="R2218" i="25" a="1"/>
  <c r="R2218" i="25" s="1"/>
  <c r="R2217" i="25" a="1"/>
  <c r="R2217" i="25" s="1"/>
  <c r="R2216" i="25" a="1"/>
  <c r="R2216" i="25" s="1"/>
  <c r="R2215" i="25" a="1"/>
  <c r="R2215" i="25" s="1"/>
  <c r="R2214" i="25" a="1"/>
  <c r="R2214" i="25" s="1"/>
  <c r="R2213" i="25" a="1"/>
  <c r="R2213" i="25" s="1"/>
  <c r="R2212" i="25" a="1"/>
  <c r="R2212" i="25" s="1"/>
  <c r="R2211" i="25" a="1"/>
  <c r="R2211" i="25" s="1"/>
  <c r="R2210" i="25" a="1"/>
  <c r="R2210" i="25" s="1"/>
  <c r="R2209" i="25" a="1"/>
  <c r="R2209" i="25" s="1"/>
  <c r="R2208" i="25" a="1"/>
  <c r="R2208" i="25" s="1"/>
  <c r="R2207" i="25" a="1"/>
  <c r="R2207" i="25" s="1"/>
  <c r="R2206" i="25" a="1"/>
  <c r="R2206" i="25" s="1"/>
  <c r="R2205" i="25" a="1"/>
  <c r="R2205" i="25" s="1"/>
  <c r="R2204" i="25" a="1"/>
  <c r="R2204" i="25" s="1"/>
  <c r="R2203" i="25" a="1"/>
  <c r="R2203" i="25" s="1"/>
  <c r="R2202" i="25" a="1"/>
  <c r="R2202" i="25" s="1"/>
  <c r="R2201" i="25" a="1"/>
  <c r="R2201" i="25" s="1"/>
  <c r="R2200" i="25" a="1"/>
  <c r="R2200" i="25" s="1"/>
  <c r="R2199" i="25" a="1"/>
  <c r="R2199" i="25" s="1"/>
  <c r="R2198" i="25" a="1"/>
  <c r="R2198" i="25" s="1"/>
  <c r="R2197" i="25" a="1"/>
  <c r="R2197" i="25" s="1"/>
  <c r="R2196" i="25" a="1"/>
  <c r="R2196" i="25" s="1"/>
  <c r="R2195" i="25" a="1"/>
  <c r="R2195" i="25" s="1"/>
  <c r="R2194" i="25" a="1"/>
  <c r="R2194" i="25" s="1"/>
  <c r="R2193" i="25" a="1"/>
  <c r="R2193" i="25" s="1"/>
  <c r="R2192" i="25" a="1"/>
  <c r="R2192" i="25" s="1"/>
  <c r="R2191" i="25" a="1"/>
  <c r="R2191" i="25" s="1"/>
  <c r="R2190" i="25" a="1"/>
  <c r="R2190" i="25" s="1"/>
  <c r="R2189" i="25" a="1"/>
  <c r="R2189" i="25" s="1"/>
  <c r="R2188" i="25" a="1"/>
  <c r="R2188" i="25" s="1"/>
  <c r="R2187" i="25" a="1"/>
  <c r="R2187" i="25" s="1"/>
  <c r="R2186" i="25" a="1"/>
  <c r="R2186" i="25" s="1"/>
  <c r="R2185" i="25" a="1"/>
  <c r="R2185" i="25" s="1"/>
  <c r="R2184" i="25" a="1"/>
  <c r="R2184" i="25" s="1"/>
  <c r="R2183" i="25" a="1"/>
  <c r="R2183" i="25" s="1"/>
  <c r="R2182" i="25" a="1"/>
  <c r="R2182" i="25" s="1"/>
  <c r="R2181" i="25" a="1"/>
  <c r="R2181" i="25" s="1"/>
  <c r="R2180" i="25" a="1"/>
  <c r="R2180" i="25" s="1"/>
  <c r="R2179" i="25" a="1"/>
  <c r="R2179" i="25" s="1"/>
  <c r="R2178" i="25" a="1"/>
  <c r="R2178" i="25" s="1"/>
  <c r="R2177" i="25" a="1"/>
  <c r="R2177" i="25" s="1"/>
  <c r="R2176" i="25" a="1"/>
  <c r="R2176" i="25" s="1"/>
  <c r="R2175" i="25" a="1"/>
  <c r="R2175" i="25" s="1"/>
  <c r="R2174" i="25" a="1"/>
  <c r="R2174" i="25" s="1"/>
  <c r="R2173" i="25" a="1"/>
  <c r="R2173" i="25" s="1"/>
  <c r="R2172" i="25" a="1"/>
  <c r="R2172" i="25" s="1"/>
  <c r="R2171" i="25" a="1"/>
  <c r="R2171" i="25" s="1"/>
  <c r="R2170" i="25" a="1"/>
  <c r="R2170" i="25" s="1"/>
  <c r="R2169" i="25" a="1"/>
  <c r="R2169" i="25" s="1"/>
  <c r="R2168" i="25" a="1"/>
  <c r="R2168" i="25" s="1"/>
  <c r="R2167" i="25" a="1"/>
  <c r="R2167" i="25" s="1"/>
  <c r="R2166" i="25" a="1"/>
  <c r="R2166" i="25" s="1"/>
  <c r="R2165" i="25" a="1"/>
  <c r="R2165" i="25" s="1"/>
  <c r="R2164" i="25" a="1"/>
  <c r="R2164" i="25" s="1"/>
  <c r="R2163" i="25" a="1"/>
  <c r="R2163" i="25" s="1"/>
  <c r="R2162" i="25" a="1"/>
  <c r="R2162" i="25" s="1"/>
  <c r="R2161" i="25" a="1"/>
  <c r="R2161" i="25" s="1"/>
  <c r="R2160" i="25" a="1"/>
  <c r="R2160" i="25" s="1"/>
  <c r="R2159" i="25" a="1"/>
  <c r="R2159" i="25" s="1"/>
  <c r="R2158" i="25" a="1"/>
  <c r="R2158" i="25" s="1"/>
  <c r="R2157" i="25" a="1"/>
  <c r="R2157" i="25" s="1"/>
  <c r="R2156" i="25" a="1"/>
  <c r="R2156" i="25" s="1"/>
  <c r="R2155" i="25" a="1"/>
  <c r="R2155" i="25" s="1"/>
  <c r="R2154" i="25" a="1"/>
  <c r="R2154" i="25" s="1"/>
  <c r="R2153" i="25" a="1"/>
  <c r="R2153" i="25" s="1"/>
  <c r="R2152" i="25" a="1"/>
  <c r="R2152" i="25" s="1"/>
  <c r="R2151" i="25" a="1"/>
  <c r="R2151" i="25" s="1"/>
  <c r="R2150" i="25" a="1"/>
  <c r="R2150" i="25" s="1"/>
  <c r="R2149" i="25" a="1"/>
  <c r="R2149" i="25" s="1"/>
  <c r="R2148" i="25" a="1"/>
  <c r="R2148" i="25" s="1"/>
  <c r="R2147" i="25" a="1"/>
  <c r="R2147" i="25" s="1"/>
  <c r="R2146" i="25" a="1"/>
  <c r="R2146" i="25" s="1"/>
  <c r="R2145" i="25" a="1"/>
  <c r="R2145" i="25" s="1"/>
  <c r="R2144" i="25" a="1"/>
  <c r="R2144" i="25" s="1"/>
  <c r="R2143" i="25" a="1"/>
  <c r="R2143" i="25" s="1"/>
  <c r="R2142" i="25" a="1"/>
  <c r="R2142" i="25" s="1"/>
  <c r="R2141" i="25" a="1"/>
  <c r="R2141" i="25" s="1"/>
  <c r="R2140" i="25" a="1"/>
  <c r="R2140" i="25" s="1"/>
  <c r="R2139" i="25" a="1"/>
  <c r="R2139" i="25" s="1"/>
  <c r="R2138" i="25" a="1"/>
  <c r="R2138" i="25" s="1"/>
  <c r="R2137" i="25" a="1"/>
  <c r="R2137" i="25" s="1"/>
  <c r="R2136" i="25" a="1"/>
  <c r="R2136" i="25" s="1"/>
  <c r="R2135" i="25" a="1"/>
  <c r="R2135" i="25" s="1"/>
  <c r="R2134" i="25" a="1"/>
  <c r="R2134" i="25" s="1"/>
  <c r="R2133" i="25" a="1"/>
  <c r="R2133" i="25" s="1"/>
  <c r="R2132" i="25" a="1"/>
  <c r="R2132" i="25" s="1"/>
  <c r="R2131" i="25" a="1"/>
  <c r="R2131" i="25" s="1"/>
  <c r="R2130" i="25" a="1"/>
  <c r="R2130" i="25" s="1"/>
  <c r="R2129" i="25" a="1"/>
  <c r="R2129" i="25" s="1"/>
  <c r="R2128" i="25" a="1"/>
  <c r="R2128" i="25" s="1"/>
  <c r="R2127" i="25" a="1"/>
  <c r="R2127" i="25" s="1"/>
  <c r="R2126" i="25" a="1"/>
  <c r="R2126" i="25" s="1"/>
  <c r="R2125" i="25" a="1"/>
  <c r="R2125" i="25" s="1"/>
  <c r="R2124" i="25" a="1"/>
  <c r="R2124" i="25" s="1"/>
  <c r="R2123" i="25" a="1"/>
  <c r="R2123" i="25" s="1"/>
  <c r="R2122" i="25" a="1"/>
  <c r="R2122" i="25" s="1"/>
  <c r="R2121" i="25" a="1"/>
  <c r="R2121" i="25" s="1"/>
  <c r="R2120" i="25" a="1"/>
  <c r="R2120" i="25" s="1"/>
  <c r="R2119" i="25" a="1"/>
  <c r="R2119" i="25" s="1"/>
  <c r="R2118" i="25" a="1"/>
  <c r="R2118" i="25" s="1"/>
  <c r="R2117" i="25" a="1"/>
  <c r="R2117" i="25" s="1"/>
  <c r="R2116" i="25" a="1"/>
  <c r="R2116" i="25" s="1"/>
  <c r="R2115" i="25" a="1"/>
  <c r="R2115" i="25" s="1"/>
  <c r="R2114" i="25" a="1"/>
  <c r="R2114" i="25" s="1"/>
  <c r="R2113" i="25" a="1"/>
  <c r="R2113" i="25" s="1"/>
  <c r="R2112" i="25" a="1"/>
  <c r="R2112" i="25" s="1"/>
  <c r="R2111" i="25" a="1"/>
  <c r="R2111" i="25" s="1"/>
  <c r="R2110" i="25" a="1"/>
  <c r="R2110" i="25" s="1"/>
  <c r="R2109" i="25" a="1"/>
  <c r="R2109" i="25" s="1"/>
  <c r="R2108" i="25" a="1"/>
  <c r="R2108" i="25" s="1"/>
  <c r="R2107" i="25" a="1"/>
  <c r="R2107" i="25" s="1"/>
  <c r="R2106" i="25" a="1"/>
  <c r="R2106" i="25" s="1"/>
  <c r="R2105" i="25" a="1"/>
  <c r="R2105" i="25" s="1"/>
  <c r="R2104" i="25" a="1"/>
  <c r="R2104" i="25" s="1"/>
  <c r="R2103" i="25" a="1"/>
  <c r="R2103" i="25" s="1"/>
  <c r="R2102" i="25" a="1"/>
  <c r="R2102" i="25" s="1"/>
  <c r="R2101" i="25" a="1"/>
  <c r="R2101" i="25" s="1"/>
  <c r="R2100" i="25" a="1"/>
  <c r="R2100" i="25" s="1"/>
  <c r="R2099" i="25" a="1"/>
  <c r="R2099" i="25" s="1"/>
  <c r="R2098" i="25" a="1"/>
  <c r="R2098" i="25" s="1"/>
  <c r="R2097" i="25" a="1"/>
  <c r="R2097" i="25" s="1"/>
  <c r="R2096" i="25" a="1"/>
  <c r="R2096" i="25" s="1"/>
  <c r="R2095" i="25" a="1"/>
  <c r="R2095" i="25" s="1"/>
  <c r="R2094" i="25" a="1"/>
  <c r="R2094" i="25" s="1"/>
  <c r="R2093" i="25" a="1"/>
  <c r="R2093" i="25" s="1"/>
  <c r="R2092" i="25" a="1"/>
  <c r="R2092" i="25" s="1"/>
  <c r="R2091" i="25" a="1"/>
  <c r="R2091" i="25" s="1"/>
  <c r="R2090" i="25" a="1"/>
  <c r="R2090" i="25" s="1"/>
  <c r="R2089" i="25" a="1"/>
  <c r="R2089" i="25" s="1"/>
  <c r="R2088" i="25" a="1"/>
  <c r="R2088" i="25" s="1"/>
  <c r="R2087" i="25" a="1"/>
  <c r="R2087" i="25" s="1"/>
  <c r="R2086" i="25" a="1"/>
  <c r="R2086" i="25" s="1"/>
  <c r="R2085" i="25" a="1"/>
  <c r="R2085" i="25" s="1"/>
  <c r="R2084" i="25" a="1"/>
  <c r="R2084" i="25" s="1"/>
  <c r="R2083" i="25" a="1"/>
  <c r="R2083" i="25" s="1"/>
  <c r="R2082" i="25" a="1"/>
  <c r="R2082" i="25" s="1"/>
  <c r="R2081" i="25" a="1"/>
  <c r="R2081" i="25" s="1"/>
  <c r="R2080" i="25" a="1"/>
  <c r="R2080" i="25" s="1"/>
  <c r="R2079" i="25" a="1"/>
  <c r="R2079" i="25" s="1"/>
  <c r="R2078" i="25" a="1"/>
  <c r="R2078" i="25" s="1"/>
  <c r="R2077" i="25" a="1"/>
  <c r="R2077" i="25" s="1"/>
  <c r="R2076" i="25" a="1"/>
  <c r="R2076" i="25" s="1"/>
  <c r="R2075" i="25" a="1"/>
  <c r="R2075" i="25" s="1"/>
  <c r="R2074" i="25" a="1"/>
  <c r="R2074" i="25" s="1"/>
  <c r="R2073" i="25" a="1"/>
  <c r="R2073" i="25" s="1"/>
  <c r="R2072" i="25" a="1"/>
  <c r="R2072" i="25" s="1"/>
  <c r="R2071" i="25" a="1"/>
  <c r="R2071" i="25" s="1"/>
  <c r="R2070" i="25" a="1"/>
  <c r="R2070" i="25" s="1"/>
  <c r="R2069" i="25" a="1"/>
  <c r="R2069" i="25" s="1"/>
  <c r="R2068" i="25" a="1"/>
  <c r="R2068" i="25" s="1"/>
  <c r="R2067" i="25" a="1"/>
  <c r="R2067" i="25" s="1"/>
  <c r="R2066" i="25" a="1"/>
  <c r="R2066" i="25" s="1"/>
  <c r="R2065" i="25" a="1"/>
  <c r="R2065" i="25" s="1"/>
  <c r="R2064" i="25" a="1"/>
  <c r="R2064" i="25" s="1"/>
  <c r="R2063" i="25" a="1"/>
  <c r="R2063" i="25" s="1"/>
  <c r="R2062" i="25" a="1"/>
  <c r="R2062" i="25" s="1"/>
  <c r="R2061" i="25" a="1"/>
  <c r="R2061" i="25" s="1"/>
  <c r="R2060" i="25" a="1"/>
  <c r="R2060" i="25" s="1"/>
  <c r="R2059" i="25" a="1"/>
  <c r="R2059" i="25" s="1"/>
  <c r="R2058" i="25" a="1"/>
  <c r="R2058" i="25" s="1"/>
  <c r="R2057" i="25" a="1"/>
  <c r="R2057" i="25" s="1"/>
  <c r="R2056" i="25" a="1"/>
  <c r="R2056" i="25" s="1"/>
  <c r="R2055" i="25" a="1"/>
  <c r="R2055" i="25" s="1"/>
  <c r="R2054" i="25" a="1"/>
  <c r="R2054" i="25" s="1"/>
  <c r="R2053" i="25" a="1"/>
  <c r="R2053" i="25" s="1"/>
  <c r="R2052" i="25" a="1"/>
  <c r="R2052" i="25" s="1"/>
  <c r="R2051" i="25" a="1"/>
  <c r="R2051" i="25" s="1"/>
  <c r="R2050" i="25" a="1"/>
  <c r="R2050" i="25" s="1"/>
  <c r="R2049" i="25" a="1"/>
  <c r="R2049" i="25" s="1"/>
  <c r="R2048" i="25" a="1"/>
  <c r="R2048" i="25" s="1"/>
  <c r="R2047" i="25" a="1"/>
  <c r="R2047" i="25" s="1"/>
  <c r="R2046" i="25" a="1"/>
  <c r="R2046" i="25" s="1"/>
  <c r="R2045" i="25" a="1"/>
  <c r="R2045" i="25" s="1"/>
  <c r="R2044" i="25" a="1"/>
  <c r="R2044" i="25" s="1"/>
  <c r="R2043" i="25" a="1"/>
  <c r="R2043" i="25" s="1"/>
  <c r="R2042" i="25" a="1"/>
  <c r="R2042" i="25" s="1"/>
  <c r="R2041" i="25" a="1"/>
  <c r="R2041" i="25" s="1"/>
  <c r="R2040" i="25" a="1"/>
  <c r="R2040" i="25" s="1"/>
  <c r="R2039" i="25" a="1"/>
  <c r="R2039" i="25" s="1"/>
  <c r="R2038" i="25" a="1"/>
  <c r="R2038" i="25" s="1"/>
  <c r="R2037" i="25" a="1"/>
  <c r="R2037" i="25" s="1"/>
  <c r="R2036" i="25" a="1"/>
  <c r="R2036" i="25" s="1"/>
  <c r="R2035" i="25" a="1"/>
  <c r="R2035" i="25" s="1"/>
  <c r="R2034" i="25" a="1"/>
  <c r="R2034" i="25" s="1"/>
  <c r="R2033" i="25" a="1"/>
  <c r="R2033" i="25" s="1"/>
  <c r="R2032" i="25" a="1"/>
  <c r="R2032" i="25" s="1"/>
  <c r="R2031" i="25" a="1"/>
  <c r="R2031" i="25" s="1"/>
  <c r="R2030" i="25" a="1"/>
  <c r="R2030" i="25" s="1"/>
  <c r="R2029" i="25" a="1"/>
  <c r="R2029" i="25" s="1"/>
  <c r="R2028" i="25" a="1"/>
  <c r="R2028" i="25" s="1"/>
  <c r="R2027" i="25" a="1"/>
  <c r="R2027" i="25" s="1"/>
  <c r="R2026" i="25" a="1"/>
  <c r="R2026" i="25" s="1"/>
  <c r="R2025" i="25" a="1"/>
  <c r="R2025" i="25" s="1"/>
  <c r="R2024" i="25" a="1"/>
  <c r="R2024" i="25" s="1"/>
  <c r="R2023" i="25" a="1"/>
  <c r="R2023" i="25" s="1"/>
  <c r="R2022" i="25" a="1"/>
  <c r="R2022" i="25" s="1"/>
  <c r="R2021" i="25" a="1"/>
  <c r="R2021" i="25" s="1"/>
  <c r="R2020" i="25" a="1"/>
  <c r="R2020" i="25" s="1"/>
  <c r="R2019" i="25" a="1"/>
  <c r="R2019" i="25" s="1"/>
  <c r="R2018" i="25" a="1"/>
  <c r="R2018" i="25" s="1"/>
  <c r="R2017" i="25" a="1"/>
  <c r="R2017" i="25" s="1"/>
  <c r="R2016" i="25" a="1"/>
  <c r="R2016" i="25" s="1"/>
  <c r="R2015" i="25" a="1"/>
  <c r="R2015" i="25" s="1"/>
  <c r="R2014" i="25" a="1"/>
  <c r="R2014" i="25" s="1"/>
  <c r="R2013" i="25" a="1"/>
  <c r="R2013" i="25" s="1"/>
  <c r="R2012" i="25" a="1"/>
  <c r="R2012" i="25" s="1"/>
  <c r="R2011" i="25" a="1"/>
  <c r="R2011" i="25" s="1"/>
  <c r="R2010" i="25" a="1"/>
  <c r="R2010" i="25" s="1"/>
  <c r="R2009" i="25" a="1"/>
  <c r="R2009" i="25" s="1"/>
  <c r="R2008" i="25" a="1"/>
  <c r="R2008" i="25" s="1"/>
  <c r="R2007" i="25" a="1"/>
  <c r="R2007" i="25" s="1"/>
  <c r="R2006" i="25" a="1"/>
  <c r="R2006" i="25" s="1"/>
  <c r="R2005" i="25" a="1"/>
  <c r="R2005" i="25" s="1"/>
  <c r="R2004" i="25" a="1"/>
  <c r="R2004" i="25" s="1"/>
  <c r="R2003" i="25" a="1"/>
  <c r="R2003" i="25" s="1"/>
  <c r="R2002" i="25" a="1"/>
  <c r="R2002" i="25" s="1"/>
  <c r="R2001" i="25" a="1"/>
  <c r="R2001" i="25" s="1"/>
  <c r="R2000" i="25" a="1"/>
  <c r="R2000" i="25" s="1"/>
  <c r="R1999" i="25" a="1"/>
  <c r="R1999" i="25" s="1"/>
  <c r="R1998" i="25" a="1"/>
  <c r="R1998" i="25" s="1"/>
  <c r="R1997" i="25" a="1"/>
  <c r="R1997" i="25" s="1"/>
  <c r="R1996" i="25" a="1"/>
  <c r="R1996" i="25" s="1"/>
  <c r="R1995" i="25" a="1"/>
  <c r="R1995" i="25" s="1"/>
  <c r="R1994" i="25" a="1"/>
  <c r="R1994" i="25" s="1"/>
  <c r="R1993" i="25" a="1"/>
  <c r="R1993" i="25" s="1"/>
  <c r="R1992" i="25" a="1"/>
  <c r="R1992" i="25" s="1"/>
  <c r="R1991" i="25" a="1"/>
  <c r="R1991" i="25" s="1"/>
  <c r="R1990" i="25" a="1"/>
  <c r="R1990" i="25" s="1"/>
  <c r="R1989" i="25" a="1"/>
  <c r="R1989" i="25" s="1"/>
  <c r="R1988" i="25" a="1"/>
  <c r="R1988" i="25" s="1"/>
  <c r="R1987" i="25" a="1"/>
  <c r="R1987" i="25" s="1"/>
  <c r="R1986" i="25" a="1"/>
  <c r="R1986" i="25" s="1"/>
  <c r="R1985" i="25" a="1"/>
  <c r="R1985" i="25" s="1"/>
  <c r="R1984" i="25" a="1"/>
  <c r="R1984" i="25" s="1"/>
  <c r="R1983" i="25" a="1"/>
  <c r="R1983" i="25" s="1"/>
  <c r="R1982" i="25" a="1"/>
  <c r="R1982" i="25" s="1"/>
  <c r="R1981" i="25" a="1"/>
  <c r="R1981" i="25" s="1"/>
  <c r="R1980" i="25" a="1"/>
  <c r="R1980" i="25" s="1"/>
  <c r="R1979" i="25" a="1"/>
  <c r="R1979" i="25" s="1"/>
  <c r="R1978" i="25" a="1"/>
  <c r="R1978" i="25" s="1"/>
  <c r="R1977" i="25" a="1"/>
  <c r="R1977" i="25" s="1"/>
  <c r="R1976" i="25" a="1"/>
  <c r="R1976" i="25" s="1"/>
  <c r="R1975" i="25" a="1"/>
  <c r="R1975" i="25" s="1"/>
  <c r="R1974" i="25" a="1"/>
  <c r="R1974" i="25" s="1"/>
  <c r="R1973" i="25" a="1"/>
  <c r="R1973" i="25" s="1"/>
  <c r="R1972" i="25" a="1"/>
  <c r="R1972" i="25" s="1"/>
  <c r="R1971" i="25" a="1"/>
  <c r="R1971" i="25" s="1"/>
  <c r="R1970" i="25" a="1"/>
  <c r="R1970" i="25" s="1"/>
  <c r="R1969" i="25" a="1"/>
  <c r="R1969" i="25" s="1"/>
  <c r="R1968" i="25" a="1"/>
  <c r="R1968" i="25" s="1"/>
  <c r="R1967" i="25" a="1"/>
  <c r="R1967" i="25" s="1"/>
  <c r="R1966" i="25" a="1"/>
  <c r="R1966" i="25" s="1"/>
  <c r="R1965" i="25" a="1"/>
  <c r="R1965" i="25" s="1"/>
  <c r="R1964" i="25" a="1"/>
  <c r="R1964" i="25" s="1"/>
  <c r="R1963" i="25" a="1"/>
  <c r="R1963" i="25" s="1"/>
  <c r="R1962" i="25" a="1"/>
  <c r="R1962" i="25" s="1"/>
  <c r="R1961" i="25" a="1"/>
  <c r="R1961" i="25" s="1"/>
  <c r="R1960" i="25" a="1"/>
  <c r="R1960" i="25" s="1"/>
  <c r="R1959" i="25" a="1"/>
  <c r="R1959" i="25" s="1"/>
  <c r="R1958" i="25" a="1"/>
  <c r="R1958" i="25" s="1"/>
  <c r="R1957" i="25" a="1"/>
  <c r="R1957" i="25" s="1"/>
  <c r="R1956" i="25" a="1"/>
  <c r="R1956" i="25" s="1"/>
  <c r="R1955" i="25" a="1"/>
  <c r="R1955" i="25" s="1"/>
  <c r="R1954" i="25" a="1"/>
  <c r="R1954" i="25" s="1"/>
  <c r="R1953" i="25" a="1"/>
  <c r="R1953" i="25" s="1"/>
  <c r="R1952" i="25" a="1"/>
  <c r="R1952" i="25" s="1"/>
  <c r="R1951" i="25" a="1"/>
  <c r="R1951" i="25" s="1"/>
  <c r="R1950" i="25" a="1"/>
  <c r="R1950" i="25" s="1"/>
  <c r="R1949" i="25" a="1"/>
  <c r="R1949" i="25" s="1"/>
  <c r="R1948" i="25" a="1"/>
  <c r="R1948" i="25" s="1"/>
  <c r="R1947" i="25" a="1"/>
  <c r="R1947" i="25" s="1"/>
  <c r="R1946" i="25" a="1"/>
  <c r="R1946" i="25" s="1"/>
  <c r="R1945" i="25" a="1"/>
  <c r="R1945" i="25" s="1"/>
  <c r="R1944" i="25" a="1"/>
  <c r="R1944" i="25" s="1"/>
  <c r="R1943" i="25" a="1"/>
  <c r="R1943" i="25" s="1"/>
  <c r="R1942" i="25" a="1"/>
  <c r="R1942" i="25" s="1"/>
  <c r="R1941" i="25" a="1"/>
  <c r="R1941" i="25" s="1"/>
  <c r="R1940" i="25" a="1"/>
  <c r="R1940" i="25" s="1"/>
  <c r="R1939" i="25" a="1"/>
  <c r="R1939" i="25" s="1"/>
  <c r="R1938" i="25" a="1"/>
  <c r="R1938" i="25" s="1"/>
  <c r="R1937" i="25" a="1"/>
  <c r="R1937" i="25" s="1"/>
  <c r="R1936" i="25" a="1"/>
  <c r="R1936" i="25" s="1"/>
  <c r="R1935" i="25" a="1"/>
  <c r="R1935" i="25" s="1"/>
  <c r="R1934" i="25" a="1"/>
  <c r="R1934" i="25" s="1"/>
  <c r="R1933" i="25" a="1"/>
  <c r="R1933" i="25" s="1"/>
  <c r="R1932" i="25" a="1"/>
  <c r="R1932" i="25" s="1"/>
  <c r="R1931" i="25" a="1"/>
  <c r="R1931" i="25" s="1"/>
  <c r="R1930" i="25" a="1"/>
  <c r="R1930" i="25" s="1"/>
  <c r="R1929" i="25" a="1"/>
  <c r="R1929" i="25" s="1"/>
  <c r="R1928" i="25" a="1"/>
  <c r="R1928" i="25" s="1"/>
  <c r="R1927" i="25" a="1"/>
  <c r="R1927" i="25" s="1"/>
  <c r="R1926" i="25" a="1"/>
  <c r="R1926" i="25" s="1"/>
  <c r="R1925" i="25" a="1"/>
  <c r="R1925" i="25" s="1"/>
  <c r="R1924" i="25" a="1"/>
  <c r="R1924" i="25" s="1"/>
  <c r="R1923" i="25" a="1"/>
  <c r="R1923" i="25" s="1"/>
  <c r="R1922" i="25" a="1"/>
  <c r="R1922" i="25" s="1"/>
  <c r="R1921" i="25" a="1"/>
  <c r="R1921" i="25" s="1"/>
  <c r="R1920" i="25" a="1"/>
  <c r="R1920" i="25" s="1"/>
  <c r="R1919" i="25" a="1"/>
  <c r="R1919" i="25" s="1"/>
  <c r="R1918" i="25" a="1"/>
  <c r="R1918" i="25" s="1"/>
  <c r="R1917" i="25" a="1"/>
  <c r="R1917" i="25" s="1"/>
  <c r="R1916" i="25" a="1"/>
  <c r="R1916" i="25" s="1"/>
  <c r="R1915" i="25" a="1"/>
  <c r="R1915" i="25" s="1"/>
  <c r="R1914" i="25" a="1"/>
  <c r="R1914" i="25" s="1"/>
  <c r="R1913" i="25" a="1"/>
  <c r="R1913" i="25" s="1"/>
  <c r="R1912" i="25" a="1"/>
  <c r="R1912" i="25" s="1"/>
  <c r="R1911" i="25" a="1"/>
  <c r="R1911" i="25" s="1"/>
  <c r="R1910" i="25" a="1"/>
  <c r="R1910" i="25" s="1"/>
  <c r="R1909" i="25" a="1"/>
  <c r="R1909" i="25" s="1"/>
  <c r="R1908" i="25" a="1"/>
  <c r="R1908" i="25" s="1"/>
  <c r="R1907" i="25" a="1"/>
  <c r="R1907" i="25" s="1"/>
  <c r="R1906" i="25" a="1"/>
  <c r="R1906" i="25" s="1"/>
  <c r="R1905" i="25" a="1"/>
  <c r="R1905" i="25" s="1"/>
  <c r="R1904" i="25" a="1"/>
  <c r="R1904" i="25" s="1"/>
  <c r="R1903" i="25" a="1"/>
  <c r="R1903" i="25" s="1"/>
  <c r="R1902" i="25" a="1"/>
  <c r="R1902" i="25" s="1"/>
  <c r="R1901" i="25" a="1"/>
  <c r="R1901" i="25" s="1"/>
  <c r="R1900" i="25" a="1"/>
  <c r="R1900" i="25" s="1"/>
  <c r="R1899" i="25" a="1"/>
  <c r="R1899" i="25" s="1"/>
  <c r="R1898" i="25" a="1"/>
  <c r="R1898" i="25" s="1"/>
  <c r="R1897" i="25" a="1"/>
  <c r="R1897" i="25" s="1"/>
  <c r="R1896" i="25" a="1"/>
  <c r="R1896" i="25" s="1"/>
  <c r="R1895" i="25" a="1"/>
  <c r="R1895" i="25" s="1"/>
  <c r="R1894" i="25" a="1"/>
  <c r="R1894" i="25" s="1"/>
  <c r="R1893" i="25" a="1"/>
  <c r="R1893" i="25" s="1"/>
  <c r="R1892" i="25" a="1"/>
  <c r="R1892" i="25" s="1"/>
  <c r="R1891" i="25" a="1"/>
  <c r="R1891" i="25" s="1"/>
  <c r="R1890" i="25" a="1"/>
  <c r="R1890" i="25" s="1"/>
  <c r="R1889" i="25" a="1"/>
  <c r="R1889" i="25" s="1"/>
  <c r="R1888" i="25" a="1"/>
  <c r="R1888" i="25" s="1"/>
  <c r="R1887" i="25" a="1"/>
  <c r="R1887" i="25" s="1"/>
  <c r="R1886" i="25" a="1"/>
  <c r="R1886" i="25" s="1"/>
  <c r="R1885" i="25" a="1"/>
  <c r="R1885" i="25" s="1"/>
  <c r="R1884" i="25" a="1"/>
  <c r="R1884" i="25" s="1"/>
  <c r="R1883" i="25" a="1"/>
  <c r="R1883" i="25" s="1"/>
  <c r="R1882" i="25" a="1"/>
  <c r="R1882" i="25" s="1"/>
  <c r="R1881" i="25" a="1"/>
  <c r="R1881" i="25" s="1"/>
  <c r="R1880" i="25" a="1"/>
  <c r="R1880" i="25" s="1"/>
  <c r="R1879" i="25" a="1"/>
  <c r="R1879" i="25" s="1"/>
  <c r="R1878" i="25" a="1"/>
  <c r="R1878" i="25" s="1"/>
  <c r="R1877" i="25" a="1"/>
  <c r="R1877" i="25" s="1"/>
  <c r="R1876" i="25" a="1"/>
  <c r="R1876" i="25" s="1"/>
  <c r="R1875" i="25" a="1"/>
  <c r="R1875" i="25" s="1"/>
  <c r="R1874" i="25" a="1"/>
  <c r="R1874" i="25" s="1"/>
  <c r="R1873" i="25" a="1"/>
  <c r="R1873" i="25" s="1"/>
  <c r="R1872" i="25" a="1"/>
  <c r="R1872" i="25" s="1"/>
  <c r="R1871" i="25" a="1"/>
  <c r="R1871" i="25" s="1"/>
  <c r="R1870" i="25" a="1"/>
  <c r="R1870" i="25" s="1"/>
  <c r="R1869" i="25" a="1"/>
  <c r="R1869" i="25" s="1"/>
  <c r="R1868" i="25" a="1"/>
  <c r="R1868" i="25" s="1"/>
  <c r="R1867" i="25" a="1"/>
  <c r="R1867" i="25" s="1"/>
  <c r="R1866" i="25" a="1"/>
  <c r="R1866" i="25" s="1"/>
  <c r="R1865" i="25" a="1"/>
  <c r="R1865" i="25" s="1"/>
  <c r="R1864" i="25" a="1"/>
  <c r="R1864" i="25" s="1"/>
  <c r="R1863" i="25" a="1"/>
  <c r="R1863" i="25" s="1"/>
  <c r="R1862" i="25" a="1"/>
  <c r="R1862" i="25" s="1"/>
  <c r="R1861" i="25" a="1"/>
  <c r="R1861" i="25" s="1"/>
  <c r="R1860" i="25" a="1"/>
  <c r="R1860" i="25" s="1"/>
  <c r="R1859" i="25" a="1"/>
  <c r="R1859" i="25" s="1"/>
  <c r="R1858" i="25" a="1"/>
  <c r="R1858" i="25" s="1"/>
  <c r="R1857" i="25" a="1"/>
  <c r="R1857" i="25" s="1"/>
  <c r="R1856" i="25" a="1"/>
  <c r="R1856" i="25" s="1"/>
  <c r="R1855" i="25" a="1"/>
  <c r="R1855" i="25" s="1"/>
  <c r="R1854" i="25" a="1"/>
  <c r="R1854" i="25" s="1"/>
  <c r="R1853" i="25" a="1"/>
  <c r="R1853" i="25" s="1"/>
  <c r="R1852" i="25" a="1"/>
  <c r="R1852" i="25" s="1"/>
  <c r="R1851" i="25" a="1"/>
  <c r="R1851" i="25" s="1"/>
  <c r="R1850" i="25" a="1"/>
  <c r="R1850" i="25" s="1"/>
  <c r="R1849" i="25" a="1"/>
  <c r="R1849" i="25" s="1"/>
  <c r="R1848" i="25" a="1"/>
  <c r="R1848" i="25" s="1"/>
  <c r="R1847" i="25" a="1"/>
  <c r="R1847" i="25" s="1"/>
  <c r="R1846" i="25" a="1"/>
  <c r="R1846" i="25" s="1"/>
  <c r="R1845" i="25" a="1"/>
  <c r="R1845" i="25" s="1"/>
  <c r="R1844" i="25" a="1"/>
  <c r="R1844" i="25" s="1"/>
  <c r="R1843" i="25" a="1"/>
  <c r="R1843" i="25" s="1"/>
  <c r="R1842" i="25" a="1"/>
  <c r="R1842" i="25" s="1"/>
  <c r="R1841" i="25" a="1"/>
  <c r="R1841" i="25" s="1"/>
  <c r="R1840" i="25" a="1"/>
  <c r="R1840" i="25" s="1"/>
  <c r="R1839" i="25" a="1"/>
  <c r="R1839" i="25" s="1"/>
  <c r="R1838" i="25" a="1"/>
  <c r="R1838" i="25" s="1"/>
  <c r="R1837" i="25" a="1"/>
  <c r="R1837" i="25" s="1"/>
  <c r="R1836" i="25" a="1"/>
  <c r="R1836" i="25" s="1"/>
  <c r="R1835" i="25" a="1"/>
  <c r="R1835" i="25" s="1"/>
  <c r="R1834" i="25" a="1"/>
  <c r="R1834" i="25" s="1"/>
  <c r="R1833" i="25" a="1"/>
  <c r="R1833" i="25" s="1"/>
  <c r="R1832" i="25" a="1"/>
  <c r="R1832" i="25" s="1"/>
  <c r="R1831" i="25" a="1"/>
  <c r="R1831" i="25" s="1"/>
  <c r="R1830" i="25" a="1"/>
  <c r="R1830" i="25" s="1"/>
  <c r="R1829" i="25" a="1"/>
  <c r="R1829" i="25" s="1"/>
  <c r="R1828" i="25" a="1"/>
  <c r="R1828" i="25" s="1"/>
  <c r="R1827" i="25" a="1"/>
  <c r="R1827" i="25" s="1"/>
  <c r="R1826" i="25" a="1"/>
  <c r="R1826" i="25" s="1"/>
  <c r="R1825" i="25" a="1"/>
  <c r="R1825" i="25" s="1"/>
  <c r="R1824" i="25" a="1"/>
  <c r="R1824" i="25" s="1"/>
  <c r="R1823" i="25" a="1"/>
  <c r="R1823" i="25" s="1"/>
  <c r="R1822" i="25" a="1"/>
  <c r="R1822" i="25" s="1"/>
  <c r="R1821" i="25" a="1"/>
  <c r="R1821" i="25" s="1"/>
  <c r="R1820" i="25" a="1"/>
  <c r="R1820" i="25" s="1"/>
  <c r="R1819" i="25" a="1"/>
  <c r="R1819" i="25" s="1"/>
  <c r="R1818" i="25" a="1"/>
  <c r="R1818" i="25" s="1"/>
  <c r="R1817" i="25" a="1"/>
  <c r="R1817" i="25" s="1"/>
  <c r="R1816" i="25" a="1"/>
  <c r="R1816" i="25" s="1"/>
  <c r="R1815" i="25" a="1"/>
  <c r="R1815" i="25" s="1"/>
  <c r="R1814" i="25" a="1"/>
  <c r="R1814" i="25" s="1"/>
  <c r="R1813" i="25" a="1"/>
  <c r="R1813" i="25" s="1"/>
  <c r="R1812" i="25" a="1"/>
  <c r="R1812" i="25" s="1"/>
  <c r="R1811" i="25" a="1"/>
  <c r="R1811" i="25" s="1"/>
  <c r="R1810" i="25" a="1"/>
  <c r="R1810" i="25" s="1"/>
  <c r="R1809" i="25" a="1"/>
  <c r="R1809" i="25" s="1"/>
  <c r="R1808" i="25" a="1"/>
  <c r="R1808" i="25" s="1"/>
  <c r="R1807" i="25" a="1"/>
  <c r="R1807" i="25" s="1"/>
  <c r="R1806" i="25" a="1"/>
  <c r="R1806" i="25" s="1"/>
  <c r="R1805" i="25" a="1"/>
  <c r="R1805" i="25" s="1"/>
  <c r="R1804" i="25" a="1"/>
  <c r="R1804" i="25" s="1"/>
  <c r="R1803" i="25" a="1"/>
  <c r="R1803" i="25" s="1"/>
  <c r="R1802" i="25" a="1"/>
  <c r="R1802" i="25" s="1"/>
  <c r="R1801" i="25" a="1"/>
  <c r="R1801" i="25" s="1"/>
  <c r="R1800" i="25" a="1"/>
  <c r="R1800" i="25" s="1"/>
  <c r="R1799" i="25" a="1"/>
  <c r="R1799" i="25" s="1"/>
  <c r="R1798" i="25" a="1"/>
  <c r="R1798" i="25" s="1"/>
  <c r="R1797" i="25" a="1"/>
  <c r="R1797" i="25" s="1"/>
  <c r="R1796" i="25" a="1"/>
  <c r="R1796" i="25" s="1"/>
  <c r="R1795" i="25" a="1"/>
  <c r="R1795" i="25" s="1"/>
  <c r="R1794" i="25" a="1"/>
  <c r="R1794" i="25" s="1"/>
  <c r="R1793" i="25" a="1"/>
  <c r="R1793" i="25" s="1"/>
  <c r="R1792" i="25" a="1"/>
  <c r="R1792" i="25" s="1"/>
  <c r="R1791" i="25" a="1"/>
  <c r="R1791" i="25" s="1"/>
  <c r="R1790" i="25" a="1"/>
  <c r="R1790" i="25" s="1"/>
  <c r="R1789" i="25" a="1"/>
  <c r="R1789" i="25" s="1"/>
  <c r="R1788" i="25" a="1"/>
  <c r="R1788" i="25" s="1"/>
  <c r="R1787" i="25" a="1"/>
  <c r="R1787" i="25" s="1"/>
  <c r="R1786" i="25" a="1"/>
  <c r="R1786" i="25" s="1"/>
  <c r="R1785" i="25" a="1"/>
  <c r="R1785" i="25" s="1"/>
  <c r="R1784" i="25" a="1"/>
  <c r="R1784" i="25" s="1"/>
  <c r="R1783" i="25" a="1"/>
  <c r="R1783" i="25" s="1"/>
  <c r="R1782" i="25" a="1"/>
  <c r="R1782" i="25" s="1"/>
  <c r="R1781" i="25" a="1"/>
  <c r="R1781" i="25" s="1"/>
  <c r="R1780" i="25" a="1"/>
  <c r="R1780" i="25" s="1"/>
  <c r="R1779" i="25" a="1"/>
  <c r="R1779" i="25" s="1"/>
  <c r="R1778" i="25" a="1"/>
  <c r="R1778" i="25" s="1"/>
  <c r="R1777" i="25" a="1"/>
  <c r="R1777" i="25" s="1"/>
  <c r="R1776" i="25" a="1"/>
  <c r="R1776" i="25" s="1"/>
  <c r="R1775" i="25" a="1"/>
  <c r="R1775" i="25" s="1"/>
  <c r="R1774" i="25" a="1"/>
  <c r="R1774" i="25" s="1"/>
  <c r="R1773" i="25" a="1"/>
  <c r="R1773" i="25" s="1"/>
  <c r="R1772" i="25" a="1"/>
  <c r="R1772" i="25" s="1"/>
  <c r="R1771" i="25" a="1"/>
  <c r="R1771" i="25" s="1"/>
  <c r="R1770" i="25" a="1"/>
  <c r="R1770" i="25" s="1"/>
  <c r="R1769" i="25" a="1"/>
  <c r="R1769" i="25" s="1"/>
  <c r="R1768" i="25" a="1"/>
  <c r="R1768" i="25" s="1"/>
  <c r="R1767" i="25" a="1"/>
  <c r="R1767" i="25" s="1"/>
  <c r="R1766" i="25" a="1"/>
  <c r="R1766" i="25" s="1"/>
  <c r="R1765" i="25" a="1"/>
  <c r="R1765" i="25" s="1"/>
  <c r="R1764" i="25" a="1"/>
  <c r="R1764" i="25" s="1"/>
  <c r="R1763" i="25" a="1"/>
  <c r="R1763" i="25" s="1"/>
  <c r="R1762" i="25" a="1"/>
  <c r="R1762" i="25" s="1"/>
  <c r="R1761" i="25" a="1"/>
  <c r="R1761" i="25" s="1"/>
  <c r="R1760" i="25" a="1"/>
  <c r="R1760" i="25" s="1"/>
  <c r="R1759" i="25" a="1"/>
  <c r="R1759" i="25" s="1"/>
  <c r="R1758" i="25" a="1"/>
  <c r="R1758" i="25" s="1"/>
  <c r="R1757" i="25" a="1"/>
  <c r="R1757" i="25" s="1"/>
  <c r="R1756" i="25" a="1"/>
  <c r="R1756" i="25" s="1"/>
  <c r="R1755" i="25" a="1"/>
  <c r="R1755" i="25" s="1"/>
  <c r="R1754" i="25" a="1"/>
  <c r="R1754" i="25" s="1"/>
  <c r="R1753" i="25" a="1"/>
  <c r="R1753" i="25" s="1"/>
  <c r="R1752" i="25" a="1"/>
  <c r="R1752" i="25" s="1"/>
  <c r="R1751" i="25" a="1"/>
  <c r="R1751" i="25" s="1"/>
  <c r="R1750" i="25" a="1"/>
  <c r="R1750" i="25" s="1"/>
  <c r="R1749" i="25" a="1"/>
  <c r="R1749" i="25" s="1"/>
  <c r="R1748" i="25" a="1"/>
  <c r="R1748" i="25" s="1"/>
  <c r="R1747" i="25" a="1"/>
  <c r="R1747" i="25" s="1"/>
  <c r="R1746" i="25" a="1"/>
  <c r="R1746" i="25" s="1"/>
  <c r="R1745" i="25" a="1"/>
  <c r="R1745" i="25" s="1"/>
  <c r="R1744" i="25" a="1"/>
  <c r="R1744" i="25" s="1"/>
  <c r="R1743" i="25" a="1"/>
  <c r="R1743" i="25" s="1"/>
  <c r="R1742" i="25" a="1"/>
  <c r="R1742" i="25" s="1"/>
  <c r="R1741" i="25" a="1"/>
  <c r="R1741" i="25" s="1"/>
  <c r="R1740" i="25" a="1"/>
  <c r="R1740" i="25" s="1"/>
  <c r="R1739" i="25" a="1"/>
  <c r="R1739" i="25" s="1"/>
  <c r="R1738" i="25" a="1"/>
  <c r="R1738" i="25" s="1"/>
  <c r="R1737" i="25" a="1"/>
  <c r="R1737" i="25" s="1"/>
  <c r="R1736" i="25" a="1"/>
  <c r="R1736" i="25" s="1"/>
  <c r="R1735" i="25" a="1"/>
  <c r="R1735" i="25" s="1"/>
  <c r="R1734" i="25" a="1"/>
  <c r="R1734" i="25" s="1"/>
  <c r="R1733" i="25" a="1"/>
  <c r="R1733" i="25" s="1"/>
  <c r="R1732" i="25" a="1"/>
  <c r="R1732" i="25" s="1"/>
  <c r="R1731" i="25" a="1"/>
  <c r="R1731" i="25" s="1"/>
  <c r="R1730" i="25" a="1"/>
  <c r="R1730" i="25" s="1"/>
  <c r="R1729" i="25" a="1"/>
  <c r="R1729" i="25" s="1"/>
  <c r="R1728" i="25" a="1"/>
  <c r="R1728" i="25" s="1"/>
  <c r="R1727" i="25" a="1"/>
  <c r="R1727" i="25" s="1"/>
  <c r="R1726" i="25" a="1"/>
  <c r="R1726" i="25" s="1"/>
  <c r="R1725" i="25" a="1"/>
  <c r="R1725" i="25" s="1"/>
  <c r="R1724" i="25" a="1"/>
  <c r="R1724" i="25" s="1"/>
  <c r="R1723" i="25" a="1"/>
  <c r="R1723" i="25" s="1"/>
  <c r="R1722" i="25" a="1"/>
  <c r="R1722" i="25" s="1"/>
  <c r="R1721" i="25" a="1"/>
  <c r="R1721" i="25" s="1"/>
  <c r="R1720" i="25" a="1"/>
  <c r="R1720" i="25" s="1"/>
  <c r="R1719" i="25" a="1"/>
  <c r="R1719" i="25" s="1"/>
  <c r="R1718" i="25" a="1"/>
  <c r="R1718" i="25" s="1"/>
  <c r="R1717" i="25" a="1"/>
  <c r="R1717" i="25" s="1"/>
  <c r="R1716" i="25" a="1"/>
  <c r="R1716" i="25" s="1"/>
  <c r="R1715" i="25" a="1"/>
  <c r="R1715" i="25" s="1"/>
  <c r="R1714" i="25" a="1"/>
  <c r="R1714" i="25" s="1"/>
  <c r="R1713" i="25" a="1"/>
  <c r="R1713" i="25" s="1"/>
  <c r="R1712" i="25" a="1"/>
  <c r="R1712" i="25" s="1"/>
  <c r="R1711" i="25" a="1"/>
  <c r="R1711" i="25" s="1"/>
  <c r="R1710" i="25" a="1"/>
  <c r="R1710" i="25" s="1"/>
  <c r="R1709" i="25" a="1"/>
  <c r="R1709" i="25" s="1"/>
  <c r="R1708" i="25" a="1"/>
  <c r="R1708" i="25" s="1"/>
  <c r="R1707" i="25" a="1"/>
  <c r="R1707" i="25" s="1"/>
  <c r="R1706" i="25" a="1"/>
  <c r="R1706" i="25" s="1"/>
  <c r="R1705" i="25" a="1"/>
  <c r="R1705" i="25" s="1"/>
  <c r="R1704" i="25" a="1"/>
  <c r="R1704" i="25" s="1"/>
  <c r="R1703" i="25" a="1"/>
  <c r="R1703" i="25" s="1"/>
  <c r="R1702" i="25" a="1"/>
  <c r="R1702" i="25" s="1"/>
  <c r="R1701" i="25" a="1"/>
  <c r="R1701" i="25" s="1"/>
  <c r="R1700" i="25" a="1"/>
  <c r="R1700" i="25" s="1"/>
  <c r="R1699" i="25" a="1"/>
  <c r="R1699" i="25" s="1"/>
  <c r="R1698" i="25" a="1"/>
  <c r="R1698" i="25" s="1"/>
  <c r="R1697" i="25" a="1"/>
  <c r="R1697" i="25" s="1"/>
  <c r="R1696" i="25" a="1"/>
  <c r="R1696" i="25" s="1"/>
  <c r="R1695" i="25" a="1"/>
  <c r="R1695" i="25" s="1"/>
  <c r="R1694" i="25" a="1"/>
  <c r="R1694" i="25" s="1"/>
  <c r="R1693" i="25" a="1"/>
  <c r="R1693" i="25" s="1"/>
  <c r="R1692" i="25" a="1"/>
  <c r="R1692" i="25" s="1"/>
  <c r="R1691" i="25" a="1"/>
  <c r="R1691" i="25" s="1"/>
  <c r="R1690" i="25" a="1"/>
  <c r="R1690" i="25" s="1"/>
  <c r="R1689" i="25" a="1"/>
  <c r="R1689" i="25" s="1"/>
  <c r="R1688" i="25" a="1"/>
  <c r="R1688" i="25" s="1"/>
  <c r="R1687" i="25" a="1"/>
  <c r="R1687" i="25" s="1"/>
  <c r="R1686" i="25" a="1"/>
  <c r="R1686" i="25" s="1"/>
  <c r="R1685" i="25" a="1"/>
  <c r="R1685" i="25" s="1"/>
  <c r="R1684" i="25" a="1"/>
  <c r="R1684" i="25" s="1"/>
  <c r="R1683" i="25" a="1"/>
  <c r="R1683" i="25" s="1"/>
  <c r="R1682" i="25" a="1"/>
  <c r="R1682" i="25" s="1"/>
  <c r="R1681" i="25" a="1"/>
  <c r="R1681" i="25" s="1"/>
  <c r="R1680" i="25" a="1"/>
  <c r="R1680" i="25" s="1"/>
  <c r="R1679" i="25" a="1"/>
  <c r="R1679" i="25" s="1"/>
  <c r="R1678" i="25" a="1"/>
  <c r="R1678" i="25" s="1"/>
  <c r="R1677" i="25" a="1"/>
  <c r="R1677" i="25" s="1"/>
  <c r="R1676" i="25" a="1"/>
  <c r="R1676" i="25" s="1"/>
  <c r="R1675" i="25" a="1"/>
  <c r="R1675" i="25" s="1"/>
  <c r="R1674" i="25" a="1"/>
  <c r="R1674" i="25" s="1"/>
  <c r="R1673" i="25" a="1"/>
  <c r="R1673" i="25" s="1"/>
  <c r="R1672" i="25" a="1"/>
  <c r="R1672" i="25" s="1"/>
  <c r="R1671" i="25" a="1"/>
  <c r="R1671" i="25" s="1"/>
  <c r="R1670" i="25" a="1"/>
  <c r="R1670" i="25" s="1"/>
  <c r="R1669" i="25" a="1"/>
  <c r="R1669" i="25" s="1"/>
  <c r="R1668" i="25" a="1"/>
  <c r="R1668" i="25" s="1"/>
  <c r="R1667" i="25" a="1"/>
  <c r="R1667" i="25" s="1"/>
  <c r="R1666" i="25" a="1"/>
  <c r="R1666" i="25" s="1"/>
  <c r="R1665" i="25" a="1"/>
  <c r="R1665" i="25" s="1"/>
  <c r="R1664" i="25" a="1"/>
  <c r="R1664" i="25" s="1"/>
  <c r="R1663" i="25" a="1"/>
  <c r="R1663" i="25" s="1"/>
  <c r="R1662" i="25" a="1"/>
  <c r="R1662" i="25" s="1"/>
  <c r="R1661" i="25" a="1"/>
  <c r="R1661" i="25" s="1"/>
  <c r="R1660" i="25" a="1"/>
  <c r="R1660" i="25" s="1"/>
  <c r="R1659" i="25" a="1"/>
  <c r="R1659" i="25" s="1"/>
  <c r="R1658" i="25" a="1"/>
  <c r="R1658" i="25" s="1"/>
  <c r="R1657" i="25" a="1"/>
  <c r="R1657" i="25" s="1"/>
  <c r="R1656" i="25" a="1"/>
  <c r="R1656" i="25" s="1"/>
  <c r="R1655" i="25" a="1"/>
  <c r="R1655" i="25" s="1"/>
  <c r="R1654" i="25" a="1"/>
  <c r="R1654" i="25" s="1"/>
  <c r="R1653" i="25" a="1"/>
  <c r="R1653" i="25" s="1"/>
  <c r="R1652" i="25" a="1"/>
  <c r="R1652" i="25" s="1"/>
  <c r="R1651" i="25" a="1"/>
  <c r="R1651" i="25" s="1"/>
  <c r="R1650" i="25" a="1"/>
  <c r="R1650" i="25" s="1"/>
  <c r="R1649" i="25" a="1"/>
  <c r="R1649" i="25" s="1"/>
  <c r="R1648" i="25" a="1"/>
  <c r="R1648" i="25" s="1"/>
  <c r="R1647" i="25" a="1"/>
  <c r="R1647" i="25" s="1"/>
  <c r="R1646" i="25" a="1"/>
  <c r="R1646" i="25" s="1"/>
  <c r="R1645" i="25" a="1"/>
  <c r="R1645" i="25" s="1"/>
  <c r="R1644" i="25" a="1"/>
  <c r="R1644" i="25" s="1"/>
  <c r="R1643" i="25" a="1"/>
  <c r="R1643" i="25" s="1"/>
  <c r="R1642" i="25" a="1"/>
  <c r="R1642" i="25" s="1"/>
  <c r="R1641" i="25" a="1"/>
  <c r="R1641" i="25" s="1"/>
  <c r="R1640" i="25" a="1"/>
  <c r="R1640" i="25" s="1"/>
  <c r="R1639" i="25" a="1"/>
  <c r="R1639" i="25" s="1"/>
  <c r="R1638" i="25" a="1"/>
  <c r="R1638" i="25" s="1"/>
  <c r="R1637" i="25" a="1"/>
  <c r="R1637" i="25" s="1"/>
  <c r="R1636" i="25" a="1"/>
  <c r="R1636" i="25" s="1"/>
  <c r="R1635" i="25" a="1"/>
  <c r="R1635" i="25" s="1"/>
  <c r="R1634" i="25" a="1"/>
  <c r="R1634" i="25" s="1"/>
  <c r="R1633" i="25" a="1"/>
  <c r="R1633" i="25" s="1"/>
  <c r="R1632" i="25" a="1"/>
  <c r="R1632" i="25" s="1"/>
  <c r="R1631" i="25" a="1"/>
  <c r="R1631" i="25" s="1"/>
  <c r="R1630" i="25" a="1"/>
  <c r="R1630" i="25" s="1"/>
  <c r="R1629" i="25" a="1"/>
  <c r="R1629" i="25" s="1"/>
  <c r="R1628" i="25" a="1"/>
  <c r="R1628" i="25" s="1"/>
  <c r="R1627" i="25" a="1"/>
  <c r="R1627" i="25" s="1"/>
  <c r="R1626" i="25" a="1"/>
  <c r="R1626" i="25" s="1"/>
  <c r="R1625" i="25" a="1"/>
  <c r="R1625" i="25" s="1"/>
  <c r="R1624" i="25" a="1"/>
  <c r="R1624" i="25" s="1"/>
  <c r="R1623" i="25" a="1"/>
  <c r="R1623" i="25" s="1"/>
  <c r="R1622" i="25" a="1"/>
  <c r="R1622" i="25" s="1"/>
  <c r="R1621" i="25" a="1"/>
  <c r="R1621" i="25" s="1"/>
  <c r="R1620" i="25" a="1"/>
  <c r="R1620" i="25" s="1"/>
  <c r="R1619" i="25" a="1"/>
  <c r="R1619" i="25" s="1"/>
  <c r="R1618" i="25" a="1"/>
  <c r="R1618" i="25" s="1"/>
  <c r="R1617" i="25" a="1"/>
  <c r="R1617" i="25" s="1"/>
  <c r="R1616" i="25" a="1"/>
  <c r="R1616" i="25" s="1"/>
  <c r="R1615" i="25" a="1"/>
  <c r="R1615" i="25" s="1"/>
  <c r="R1614" i="25" a="1"/>
  <c r="R1614" i="25" s="1"/>
  <c r="R1613" i="25" a="1"/>
  <c r="R1613" i="25" s="1"/>
  <c r="R1612" i="25" a="1"/>
  <c r="R1612" i="25" s="1"/>
  <c r="R1611" i="25" a="1"/>
  <c r="R1611" i="25" s="1"/>
  <c r="R1610" i="25" a="1"/>
  <c r="R1610" i="25" s="1"/>
  <c r="R1609" i="25" a="1"/>
  <c r="R1609" i="25" s="1"/>
  <c r="R1608" i="25" a="1"/>
  <c r="R1608" i="25" s="1"/>
  <c r="R1607" i="25" a="1"/>
  <c r="R1607" i="25" s="1"/>
  <c r="R1606" i="25" a="1"/>
  <c r="R1606" i="25" s="1"/>
  <c r="R1605" i="25" a="1"/>
  <c r="R1605" i="25" s="1"/>
  <c r="R1604" i="25" a="1"/>
  <c r="R1604" i="25" s="1"/>
  <c r="R1603" i="25" a="1"/>
  <c r="R1603" i="25" s="1"/>
  <c r="R1602" i="25" a="1"/>
  <c r="R1602" i="25" s="1"/>
  <c r="R1601" i="25" a="1"/>
  <c r="R1601" i="25" s="1"/>
  <c r="R1600" i="25" a="1"/>
  <c r="R1600" i="25" s="1"/>
  <c r="R1599" i="25" a="1"/>
  <c r="R1599" i="25" s="1"/>
  <c r="R1598" i="25" a="1"/>
  <c r="R1598" i="25" s="1"/>
  <c r="R1597" i="25" a="1"/>
  <c r="R1597" i="25" s="1"/>
  <c r="R1596" i="25" a="1"/>
  <c r="R1596" i="25" s="1"/>
  <c r="R1595" i="25" a="1"/>
  <c r="R1595" i="25" s="1"/>
  <c r="R1594" i="25" a="1"/>
  <c r="R1594" i="25" s="1"/>
  <c r="R1593" i="25" a="1"/>
  <c r="R1593" i="25" s="1"/>
  <c r="R1592" i="25" a="1"/>
  <c r="R1592" i="25" s="1"/>
  <c r="R1591" i="25" a="1"/>
  <c r="R1591" i="25" s="1"/>
  <c r="R1590" i="25" a="1"/>
  <c r="R1590" i="25" s="1"/>
  <c r="R1589" i="25" a="1"/>
  <c r="R1589" i="25" s="1"/>
  <c r="R1588" i="25" a="1"/>
  <c r="R1588" i="25" s="1"/>
  <c r="R1587" i="25" a="1"/>
  <c r="R1587" i="25" s="1"/>
  <c r="R1586" i="25" a="1"/>
  <c r="R1586" i="25" s="1"/>
  <c r="R1585" i="25" a="1"/>
  <c r="R1585" i="25" s="1"/>
  <c r="R1584" i="25" a="1"/>
  <c r="R1584" i="25" s="1"/>
  <c r="R1583" i="25" a="1"/>
  <c r="R1583" i="25" s="1"/>
  <c r="R1582" i="25" a="1"/>
  <c r="R1582" i="25" s="1"/>
  <c r="R1581" i="25" a="1"/>
  <c r="R1581" i="25" s="1"/>
  <c r="R1580" i="25" a="1"/>
  <c r="R1580" i="25" s="1"/>
  <c r="R1579" i="25" a="1"/>
  <c r="R1579" i="25" s="1"/>
  <c r="R1578" i="25" a="1"/>
  <c r="R1578" i="25" s="1"/>
  <c r="R1577" i="25" a="1"/>
  <c r="R1577" i="25" s="1"/>
  <c r="R1576" i="25" a="1"/>
  <c r="R1576" i="25" s="1"/>
  <c r="R1575" i="25" a="1"/>
  <c r="R1575" i="25" s="1"/>
  <c r="R1574" i="25" a="1"/>
  <c r="R1574" i="25" s="1"/>
  <c r="R1573" i="25" a="1"/>
  <c r="R1573" i="25" s="1"/>
  <c r="R1572" i="25" a="1"/>
  <c r="R1572" i="25" s="1"/>
  <c r="R1571" i="25" a="1"/>
  <c r="R1571" i="25" s="1"/>
  <c r="R1570" i="25" a="1"/>
  <c r="R1570" i="25" s="1"/>
  <c r="R1569" i="25" a="1"/>
  <c r="R1569" i="25" s="1"/>
  <c r="R1568" i="25" a="1"/>
  <c r="R1568" i="25" s="1"/>
  <c r="R1567" i="25" a="1"/>
  <c r="R1567" i="25" s="1"/>
  <c r="R1566" i="25" a="1"/>
  <c r="R1566" i="25" s="1"/>
  <c r="R1565" i="25" a="1"/>
  <c r="R1565" i="25" s="1"/>
  <c r="R1564" i="25" a="1"/>
  <c r="R1564" i="25" s="1"/>
  <c r="R1563" i="25" a="1"/>
  <c r="R1563" i="25" s="1"/>
  <c r="R1562" i="25" a="1"/>
  <c r="R1562" i="25" s="1"/>
  <c r="R1561" i="25" a="1"/>
  <c r="R1561" i="25" s="1"/>
  <c r="R1560" i="25" a="1"/>
  <c r="R1560" i="25" s="1"/>
  <c r="R1559" i="25" a="1"/>
  <c r="R1559" i="25" s="1"/>
  <c r="R1558" i="25" a="1"/>
  <c r="R1558" i="25" s="1"/>
  <c r="R1557" i="25" a="1"/>
  <c r="R1557" i="25" s="1"/>
  <c r="R1556" i="25" a="1"/>
  <c r="R1556" i="25" s="1"/>
  <c r="R1555" i="25" a="1"/>
  <c r="R1555" i="25" s="1"/>
  <c r="R1554" i="25" a="1"/>
  <c r="R1554" i="25" s="1"/>
  <c r="R1553" i="25" a="1"/>
  <c r="R1553" i="25" s="1"/>
  <c r="R1552" i="25" a="1"/>
  <c r="R1552" i="25" s="1"/>
  <c r="R1551" i="25" a="1"/>
  <c r="R1551" i="25" s="1"/>
  <c r="R1550" i="25" a="1"/>
  <c r="R1550" i="25" s="1"/>
  <c r="R1549" i="25" a="1"/>
  <c r="R1549" i="25" s="1"/>
  <c r="R1548" i="25" a="1"/>
  <c r="R1548" i="25" s="1"/>
  <c r="R1547" i="25" a="1"/>
  <c r="R1547" i="25" s="1"/>
  <c r="R1546" i="25" a="1"/>
  <c r="R1546" i="25" s="1"/>
  <c r="R1545" i="25" a="1"/>
  <c r="R1545" i="25" s="1"/>
  <c r="R1544" i="25" a="1"/>
  <c r="R1544" i="25" s="1"/>
  <c r="R1543" i="25" a="1"/>
  <c r="R1543" i="25" s="1"/>
  <c r="R1542" i="25" a="1"/>
  <c r="R1542" i="25" s="1"/>
  <c r="R1541" i="25" a="1"/>
  <c r="R1541" i="25" s="1"/>
  <c r="R1540" i="25" a="1"/>
  <c r="R1540" i="25" s="1"/>
  <c r="R1539" i="25" a="1"/>
  <c r="R1539" i="25" s="1"/>
  <c r="R1538" i="25" a="1"/>
  <c r="R1538" i="25" s="1"/>
  <c r="R1537" i="25" a="1"/>
  <c r="R1537" i="25" s="1"/>
  <c r="R1536" i="25" a="1"/>
  <c r="R1536" i="25" s="1"/>
  <c r="R1535" i="25" a="1"/>
  <c r="R1535" i="25" s="1"/>
  <c r="R1534" i="25" a="1"/>
  <c r="R1534" i="25" s="1"/>
  <c r="R1533" i="25" a="1"/>
  <c r="R1533" i="25" s="1"/>
  <c r="R1532" i="25" a="1"/>
  <c r="R1532" i="25" s="1"/>
  <c r="R1531" i="25" a="1"/>
  <c r="R1531" i="25" s="1"/>
  <c r="R1530" i="25" a="1"/>
  <c r="R1530" i="25" s="1"/>
  <c r="R1529" i="25" a="1"/>
  <c r="R1529" i="25" s="1"/>
  <c r="R1528" i="25" a="1"/>
  <c r="R1528" i="25" s="1"/>
  <c r="R1527" i="25" a="1"/>
  <c r="R1527" i="25" s="1"/>
  <c r="R1526" i="25" a="1"/>
  <c r="R1526" i="25" s="1"/>
  <c r="R1525" i="25" a="1"/>
  <c r="R1525" i="25" s="1"/>
  <c r="R1524" i="25" a="1"/>
  <c r="R1524" i="25" s="1"/>
  <c r="R1523" i="25" a="1"/>
  <c r="R1523" i="25" s="1"/>
  <c r="R1522" i="25" a="1"/>
  <c r="R1522" i="25" s="1"/>
  <c r="R1521" i="25" a="1"/>
  <c r="R1521" i="25" s="1"/>
  <c r="R1520" i="25" a="1"/>
  <c r="R1520" i="25" s="1"/>
  <c r="R1519" i="25" a="1"/>
  <c r="R1519" i="25" s="1"/>
  <c r="R1518" i="25" a="1"/>
  <c r="R1518" i="25" s="1"/>
  <c r="R1517" i="25" a="1"/>
  <c r="R1517" i="25" s="1"/>
  <c r="R1516" i="25" a="1"/>
  <c r="R1516" i="25" s="1"/>
  <c r="R1515" i="25" a="1"/>
  <c r="R1515" i="25" s="1"/>
  <c r="R1514" i="25" a="1"/>
  <c r="R1514" i="25" s="1"/>
  <c r="R1513" i="25" a="1"/>
  <c r="R1513" i="25" s="1"/>
  <c r="R1512" i="25" a="1"/>
  <c r="R1512" i="25" s="1"/>
  <c r="R1511" i="25" a="1"/>
  <c r="R1511" i="25" s="1"/>
  <c r="R1510" i="25" a="1"/>
  <c r="R1510" i="25" s="1"/>
  <c r="R1509" i="25" a="1"/>
  <c r="R1509" i="25" s="1"/>
  <c r="R1508" i="25" a="1"/>
  <c r="R1508" i="25" s="1"/>
  <c r="R1507" i="25" a="1"/>
  <c r="R1507" i="25" s="1"/>
  <c r="R1506" i="25" a="1"/>
  <c r="R1506" i="25" s="1"/>
  <c r="R1505" i="25" a="1"/>
  <c r="R1505" i="25" s="1"/>
  <c r="R1504" i="25" a="1"/>
  <c r="R1504" i="25" s="1"/>
  <c r="R1503" i="25" a="1"/>
  <c r="R1503" i="25" s="1"/>
  <c r="R1502" i="25" a="1"/>
  <c r="R1502" i="25" s="1"/>
  <c r="R1501" i="25" a="1"/>
  <c r="R1501" i="25" s="1"/>
  <c r="R1500" i="25" a="1"/>
  <c r="R1500" i="25" s="1"/>
  <c r="R1499" i="25" a="1"/>
  <c r="R1499" i="25" s="1"/>
  <c r="R1498" i="25" a="1"/>
  <c r="R1498" i="25" s="1"/>
  <c r="R1497" i="25" a="1"/>
  <c r="R1497" i="25" s="1"/>
  <c r="R1496" i="25" a="1"/>
  <c r="R1496" i="25" s="1"/>
  <c r="R1495" i="25" a="1"/>
  <c r="R1495" i="25" s="1"/>
  <c r="R1494" i="25" a="1"/>
  <c r="R1494" i="25" s="1"/>
  <c r="R1493" i="25" a="1"/>
  <c r="R1493" i="25" s="1"/>
  <c r="R1492" i="25" a="1"/>
  <c r="R1492" i="25" s="1"/>
  <c r="R1491" i="25" a="1"/>
  <c r="R1491" i="25" s="1"/>
  <c r="R1490" i="25" a="1"/>
  <c r="R1490" i="25" s="1"/>
  <c r="R1489" i="25" a="1"/>
  <c r="R1489" i="25" s="1"/>
  <c r="R1488" i="25" a="1"/>
  <c r="R1488" i="25" s="1"/>
  <c r="R1487" i="25" a="1"/>
  <c r="R1487" i="25" s="1"/>
  <c r="R1486" i="25" a="1"/>
  <c r="R1486" i="25" s="1"/>
  <c r="R1485" i="25" a="1"/>
  <c r="R1485" i="25" s="1"/>
  <c r="R1484" i="25" a="1"/>
  <c r="R1484" i="25" s="1"/>
  <c r="R1483" i="25" a="1"/>
  <c r="R1483" i="25" s="1"/>
  <c r="R1482" i="25" a="1"/>
  <c r="R1482" i="25" s="1"/>
  <c r="R1481" i="25" a="1"/>
  <c r="R1481" i="25" s="1"/>
  <c r="R1480" i="25" a="1"/>
  <c r="R1480" i="25" s="1"/>
  <c r="R1479" i="25" a="1"/>
  <c r="R1479" i="25" s="1"/>
  <c r="R1478" i="25" a="1"/>
  <c r="R1478" i="25" s="1"/>
  <c r="R1477" i="25" a="1"/>
  <c r="R1477" i="25" s="1"/>
  <c r="R1476" i="25" a="1"/>
  <c r="R1476" i="25" s="1"/>
  <c r="R1475" i="25" a="1"/>
  <c r="R1475" i="25" s="1"/>
  <c r="R1474" i="25" a="1"/>
  <c r="R1474" i="25" s="1"/>
  <c r="R1473" i="25" a="1"/>
  <c r="R1473" i="25" s="1"/>
  <c r="R1472" i="25" a="1"/>
  <c r="R1472" i="25" s="1"/>
  <c r="R1471" i="25" a="1"/>
  <c r="R1471" i="25" s="1"/>
  <c r="R1470" i="25" a="1"/>
  <c r="R1470" i="25" s="1"/>
  <c r="R1469" i="25" a="1"/>
  <c r="R1469" i="25" s="1"/>
  <c r="R1468" i="25" a="1"/>
  <c r="R1468" i="25" s="1"/>
  <c r="R1467" i="25" a="1"/>
  <c r="R1467" i="25" s="1"/>
  <c r="R1466" i="25" a="1"/>
  <c r="R1466" i="25" s="1"/>
  <c r="R1465" i="25" a="1"/>
  <c r="R1465" i="25" s="1"/>
  <c r="R1464" i="25" a="1"/>
  <c r="R1464" i="25" s="1"/>
  <c r="R1463" i="25" a="1"/>
  <c r="R1463" i="25" s="1"/>
  <c r="R1462" i="25" a="1"/>
  <c r="R1462" i="25" s="1"/>
  <c r="R1461" i="25" a="1"/>
  <c r="R1461" i="25" s="1"/>
  <c r="R1460" i="25" a="1"/>
  <c r="R1460" i="25" s="1"/>
  <c r="R1459" i="25" a="1"/>
  <c r="R1459" i="25" s="1"/>
  <c r="R1458" i="25" a="1"/>
  <c r="R1458" i="25" s="1"/>
  <c r="R1457" i="25" a="1"/>
  <c r="R1457" i="25" s="1"/>
  <c r="R1456" i="25" a="1"/>
  <c r="R1456" i="25" s="1"/>
  <c r="R1455" i="25" a="1"/>
  <c r="R1455" i="25" s="1"/>
  <c r="R1454" i="25" a="1"/>
  <c r="R1454" i="25" s="1"/>
  <c r="R1453" i="25" a="1"/>
  <c r="R1453" i="25" s="1"/>
  <c r="R1452" i="25" a="1"/>
  <c r="R1452" i="25" s="1"/>
  <c r="R1451" i="25" a="1"/>
  <c r="R1451" i="25" s="1"/>
  <c r="R1450" i="25" a="1"/>
  <c r="R1450" i="25" s="1"/>
  <c r="R1449" i="25" a="1"/>
  <c r="R1449" i="25" s="1"/>
  <c r="R1448" i="25" a="1"/>
  <c r="R1448" i="25" s="1"/>
  <c r="R1447" i="25" a="1"/>
  <c r="R1447" i="25" s="1"/>
  <c r="R1446" i="25" a="1"/>
  <c r="R1446" i="25" s="1"/>
  <c r="R1445" i="25" a="1"/>
  <c r="R1445" i="25" s="1"/>
  <c r="R1444" i="25" a="1"/>
  <c r="R1444" i="25" s="1"/>
  <c r="R1443" i="25" a="1"/>
  <c r="R1443" i="25" s="1"/>
  <c r="R1442" i="25" a="1"/>
  <c r="R1442" i="25" s="1"/>
  <c r="R1441" i="25" a="1"/>
  <c r="R1441" i="25" s="1"/>
  <c r="R1440" i="25" a="1"/>
  <c r="R1440" i="25" s="1"/>
  <c r="R1439" i="25" a="1"/>
  <c r="R1439" i="25" s="1"/>
  <c r="R1438" i="25" a="1"/>
  <c r="R1438" i="25" s="1"/>
  <c r="R1437" i="25" a="1"/>
  <c r="R1437" i="25" s="1"/>
  <c r="R1436" i="25" a="1"/>
  <c r="R1436" i="25" s="1"/>
  <c r="R1435" i="25" a="1"/>
  <c r="R1435" i="25" s="1"/>
  <c r="R1434" i="25" a="1"/>
  <c r="R1434" i="25" s="1"/>
  <c r="R1433" i="25" a="1"/>
  <c r="R1433" i="25" s="1"/>
  <c r="R1432" i="25" a="1"/>
  <c r="R1432" i="25" s="1"/>
  <c r="R1431" i="25" a="1"/>
  <c r="R1431" i="25" s="1"/>
  <c r="R1430" i="25" a="1"/>
  <c r="R1430" i="25" s="1"/>
  <c r="R1429" i="25" a="1"/>
  <c r="R1429" i="25" s="1"/>
  <c r="R1428" i="25" a="1"/>
  <c r="R1428" i="25" s="1"/>
  <c r="R1427" i="25" a="1"/>
  <c r="R1427" i="25" s="1"/>
  <c r="R1426" i="25" a="1"/>
  <c r="R1426" i="25" s="1"/>
  <c r="R1425" i="25" a="1"/>
  <c r="R1425" i="25" s="1"/>
  <c r="R1424" i="25" a="1"/>
  <c r="R1424" i="25" s="1"/>
  <c r="R1423" i="25" a="1"/>
  <c r="R1423" i="25" s="1"/>
  <c r="R1422" i="25" a="1"/>
  <c r="R1422" i="25" s="1"/>
  <c r="R1421" i="25" a="1"/>
  <c r="R1421" i="25" s="1"/>
  <c r="R1420" i="25" a="1"/>
  <c r="R1420" i="25" s="1"/>
  <c r="R1419" i="25" a="1"/>
  <c r="R1419" i="25" s="1"/>
  <c r="R1418" i="25" a="1"/>
  <c r="R1418" i="25" s="1"/>
  <c r="R1417" i="25" a="1"/>
  <c r="R1417" i="25" s="1"/>
  <c r="R1416" i="25" a="1"/>
  <c r="R1416" i="25" s="1"/>
  <c r="R1415" i="25" a="1"/>
  <c r="R1415" i="25" s="1"/>
  <c r="R1414" i="25" a="1"/>
  <c r="R1414" i="25" s="1"/>
  <c r="R1413" i="25" a="1"/>
  <c r="R1413" i="25" s="1"/>
  <c r="R1412" i="25" a="1"/>
  <c r="R1412" i="25" s="1"/>
  <c r="R1411" i="25" a="1"/>
  <c r="R1411" i="25" s="1"/>
  <c r="R1410" i="25" a="1"/>
  <c r="R1410" i="25" s="1"/>
  <c r="R1409" i="25" a="1"/>
  <c r="R1409" i="25" s="1"/>
  <c r="R1408" i="25" a="1"/>
  <c r="R1408" i="25" s="1"/>
  <c r="R1407" i="25" a="1"/>
  <c r="R1407" i="25" s="1"/>
  <c r="R1406" i="25" a="1"/>
  <c r="R1406" i="25" s="1"/>
  <c r="R1405" i="25" a="1"/>
  <c r="R1405" i="25" s="1"/>
  <c r="R1404" i="25" a="1"/>
  <c r="R1404" i="25" s="1"/>
  <c r="R1403" i="25" a="1"/>
  <c r="R1403" i="25" s="1"/>
  <c r="R1402" i="25" a="1"/>
  <c r="R1402" i="25" s="1"/>
  <c r="R1401" i="25" a="1"/>
  <c r="R1401" i="25" s="1"/>
  <c r="R1400" i="25" a="1"/>
  <c r="R1400" i="25" s="1"/>
  <c r="R1399" i="25" a="1"/>
  <c r="R1399" i="25" s="1"/>
  <c r="R1398" i="25" a="1"/>
  <c r="R1398" i="25" s="1"/>
  <c r="R1397" i="25" a="1"/>
  <c r="R1397" i="25" s="1"/>
  <c r="R1396" i="25" a="1"/>
  <c r="R1396" i="25" s="1"/>
  <c r="R1395" i="25" a="1"/>
  <c r="R1395" i="25" s="1"/>
  <c r="R1394" i="25" a="1"/>
  <c r="R1394" i="25" s="1"/>
  <c r="R1393" i="25" a="1"/>
  <c r="R1393" i="25" s="1"/>
  <c r="R1392" i="25" a="1"/>
  <c r="R1392" i="25" s="1"/>
  <c r="R1391" i="25" a="1"/>
  <c r="R1391" i="25" s="1"/>
  <c r="R1390" i="25" a="1"/>
  <c r="R1390" i="25" s="1"/>
  <c r="R1389" i="25" a="1"/>
  <c r="R1389" i="25" s="1"/>
  <c r="R1388" i="25" a="1"/>
  <c r="R1388" i="25" s="1"/>
  <c r="R1387" i="25" a="1"/>
  <c r="R1387" i="25" s="1"/>
  <c r="R1386" i="25" a="1"/>
  <c r="R1386" i="25" s="1"/>
  <c r="R1385" i="25" a="1"/>
  <c r="R1385" i="25" s="1"/>
  <c r="R1384" i="25" a="1"/>
  <c r="R1384" i="25" s="1"/>
  <c r="R1383" i="25" a="1"/>
  <c r="R1383" i="25" s="1"/>
  <c r="R1382" i="25" a="1"/>
  <c r="R1382" i="25" s="1"/>
  <c r="R1381" i="25" a="1"/>
  <c r="R1381" i="25" s="1"/>
  <c r="R1380" i="25" a="1"/>
  <c r="R1380" i="25" s="1"/>
  <c r="R1379" i="25" a="1"/>
  <c r="R1379" i="25" s="1"/>
  <c r="R1378" i="25" a="1"/>
  <c r="R1378" i="25" s="1"/>
  <c r="R1377" i="25" a="1"/>
  <c r="R1377" i="25" s="1"/>
  <c r="R1376" i="25" a="1"/>
  <c r="R1376" i="25" s="1"/>
  <c r="R1375" i="25" a="1"/>
  <c r="R1375" i="25" s="1"/>
  <c r="R1374" i="25" a="1"/>
  <c r="R1374" i="25" s="1"/>
  <c r="R1373" i="25" a="1"/>
  <c r="R1373" i="25" s="1"/>
  <c r="R1372" i="25" a="1"/>
  <c r="R1372" i="25" s="1"/>
  <c r="R1371" i="25" a="1"/>
  <c r="R1371" i="25" s="1"/>
  <c r="R1370" i="25" a="1"/>
  <c r="R1370" i="25" s="1"/>
  <c r="R1369" i="25" a="1"/>
  <c r="R1369" i="25" s="1"/>
  <c r="R1368" i="25" a="1"/>
  <c r="R1368" i="25" s="1"/>
  <c r="R1367" i="25" a="1"/>
  <c r="R1367" i="25" s="1"/>
  <c r="R1366" i="25" a="1"/>
  <c r="R1366" i="25" s="1"/>
  <c r="R1365" i="25" a="1"/>
  <c r="R1365" i="25" s="1"/>
  <c r="R1364" i="25" a="1"/>
  <c r="R1364" i="25" s="1"/>
  <c r="R1363" i="25" a="1"/>
  <c r="R1363" i="25" s="1"/>
  <c r="R1362" i="25" a="1"/>
  <c r="R1362" i="25" s="1"/>
  <c r="R1361" i="25" a="1"/>
  <c r="R1361" i="25" s="1"/>
  <c r="R1360" i="25" a="1"/>
  <c r="R1360" i="25" s="1"/>
  <c r="R1359" i="25" a="1"/>
  <c r="R1359" i="25" s="1"/>
  <c r="R1358" i="25" a="1"/>
  <c r="R1358" i="25" s="1"/>
  <c r="R1357" i="25" a="1"/>
  <c r="R1357" i="25" s="1"/>
  <c r="R1356" i="25" a="1"/>
  <c r="R1356" i="25" s="1"/>
  <c r="R1355" i="25" a="1"/>
  <c r="R1355" i="25" s="1"/>
  <c r="R1354" i="25" a="1"/>
  <c r="R1354" i="25" s="1"/>
  <c r="R1353" i="25" a="1"/>
  <c r="R1353" i="25" s="1"/>
  <c r="R1352" i="25" a="1"/>
  <c r="R1352" i="25" s="1"/>
  <c r="R1351" i="25" a="1"/>
  <c r="R1351" i="25" s="1"/>
  <c r="R1350" i="25" a="1"/>
  <c r="R1350" i="25" s="1"/>
  <c r="R1349" i="25" a="1"/>
  <c r="R1349" i="25" s="1"/>
  <c r="R1348" i="25" a="1"/>
  <c r="R1348" i="25" s="1"/>
  <c r="R1347" i="25" a="1"/>
  <c r="R1347" i="25" s="1"/>
  <c r="R1346" i="25" a="1"/>
  <c r="R1346" i="25" s="1"/>
  <c r="R1345" i="25" a="1"/>
  <c r="R1345" i="25" s="1"/>
  <c r="R1344" i="25" a="1"/>
  <c r="R1344" i="25" s="1"/>
  <c r="R1343" i="25" a="1"/>
  <c r="R1343" i="25" s="1"/>
  <c r="R1342" i="25" a="1"/>
  <c r="R1342" i="25" s="1"/>
  <c r="R1341" i="25" a="1"/>
  <c r="R1341" i="25" s="1"/>
  <c r="R1340" i="25" a="1"/>
  <c r="R1340" i="25" s="1"/>
  <c r="R1339" i="25" a="1"/>
  <c r="R1339" i="25" s="1"/>
  <c r="R1338" i="25" a="1"/>
  <c r="R1338" i="25" s="1"/>
  <c r="R1337" i="25" a="1"/>
  <c r="R1337" i="25" s="1"/>
  <c r="R1336" i="25" a="1"/>
  <c r="R1336" i="25" s="1"/>
  <c r="R1335" i="25" a="1"/>
  <c r="R1335" i="25" s="1"/>
  <c r="R1334" i="25" a="1"/>
  <c r="R1334" i="25" s="1"/>
  <c r="R1333" i="25" a="1"/>
  <c r="R1333" i="25" s="1"/>
  <c r="R1332" i="25" a="1"/>
  <c r="R1332" i="25" s="1"/>
  <c r="R1331" i="25" a="1"/>
  <c r="R1331" i="25" s="1"/>
  <c r="R1330" i="25" a="1"/>
  <c r="R1330" i="25" s="1"/>
  <c r="R1329" i="25" a="1"/>
  <c r="R1329" i="25" s="1"/>
  <c r="R1328" i="25" a="1"/>
  <c r="R1328" i="25" s="1"/>
  <c r="R1327" i="25" a="1"/>
  <c r="R1327" i="25" s="1"/>
  <c r="R1326" i="25" a="1"/>
  <c r="R1326" i="25" s="1"/>
  <c r="R1325" i="25" a="1"/>
  <c r="R1325" i="25" s="1"/>
  <c r="R1324" i="25" a="1"/>
  <c r="R1324" i="25" s="1"/>
  <c r="R1323" i="25" a="1"/>
  <c r="R1323" i="25" s="1"/>
  <c r="R1322" i="25" a="1"/>
  <c r="R1322" i="25" s="1"/>
  <c r="R1321" i="25" a="1"/>
  <c r="R1321" i="25" s="1"/>
  <c r="R1320" i="25" a="1"/>
  <c r="R1320" i="25" s="1"/>
  <c r="R1319" i="25" a="1"/>
  <c r="R1319" i="25" s="1"/>
  <c r="R1318" i="25" a="1"/>
  <c r="R1318" i="25" s="1"/>
  <c r="R1317" i="25" a="1"/>
  <c r="R1317" i="25" s="1"/>
  <c r="R1316" i="25" a="1"/>
  <c r="R1316" i="25" s="1"/>
  <c r="R1315" i="25" a="1"/>
  <c r="R1315" i="25" s="1"/>
  <c r="R1314" i="25" a="1"/>
  <c r="R1314" i="25" s="1"/>
  <c r="R1313" i="25" a="1"/>
  <c r="R1313" i="25" s="1"/>
  <c r="R1312" i="25" a="1"/>
  <c r="R1312" i="25" s="1"/>
  <c r="R1311" i="25" a="1"/>
  <c r="R1311" i="25" s="1"/>
  <c r="R1310" i="25" a="1"/>
  <c r="R1310" i="25" s="1"/>
  <c r="R1309" i="25" a="1"/>
  <c r="R1309" i="25" s="1"/>
  <c r="R1308" i="25" a="1"/>
  <c r="R1308" i="25" s="1"/>
  <c r="R1307" i="25" a="1"/>
  <c r="R1307" i="25" s="1"/>
  <c r="R1306" i="25" a="1"/>
  <c r="R1306" i="25" s="1"/>
  <c r="R1305" i="25" a="1"/>
  <c r="R1305" i="25" s="1"/>
  <c r="R1304" i="25" a="1"/>
  <c r="R1304" i="25" s="1"/>
  <c r="R1303" i="25" a="1"/>
  <c r="R1303" i="25" s="1"/>
  <c r="R1302" i="25" a="1"/>
  <c r="R1302" i="25" s="1"/>
  <c r="R1301" i="25" a="1"/>
  <c r="R1301" i="25" s="1"/>
  <c r="R1300" i="25" a="1"/>
  <c r="R1300" i="25" s="1"/>
  <c r="R1299" i="25" a="1"/>
  <c r="R1299" i="25" s="1"/>
  <c r="R1298" i="25" a="1"/>
  <c r="R1298" i="25" s="1"/>
  <c r="R1297" i="25" a="1"/>
  <c r="R1297" i="25" s="1"/>
  <c r="R1296" i="25" a="1"/>
  <c r="R1296" i="25" s="1"/>
  <c r="R1295" i="25" a="1"/>
  <c r="R1295" i="25" s="1"/>
  <c r="R1294" i="25" a="1"/>
  <c r="R1294" i="25" s="1"/>
  <c r="R1293" i="25" a="1"/>
  <c r="R1293" i="25" s="1"/>
  <c r="R1292" i="25" a="1"/>
  <c r="R1292" i="25" s="1"/>
  <c r="R1291" i="25" a="1"/>
  <c r="R1291" i="25" s="1"/>
  <c r="R1290" i="25" a="1"/>
  <c r="R1290" i="25" s="1"/>
  <c r="R1289" i="25" a="1"/>
  <c r="R1289" i="25" s="1"/>
  <c r="R1288" i="25" a="1"/>
  <c r="R1288" i="25" s="1"/>
  <c r="R1287" i="25" a="1"/>
  <c r="R1287" i="25" s="1"/>
  <c r="R1286" i="25" a="1"/>
  <c r="R1286" i="25" s="1"/>
  <c r="R1285" i="25" a="1"/>
  <c r="R1285" i="25" s="1"/>
  <c r="R1284" i="25" a="1"/>
  <c r="R1284" i="25" s="1"/>
  <c r="R1283" i="25" a="1"/>
  <c r="R1283" i="25" s="1"/>
  <c r="R1282" i="25" a="1"/>
  <c r="R1282" i="25" s="1"/>
  <c r="R1281" i="25" a="1"/>
  <c r="R1281" i="25" s="1"/>
  <c r="R1280" i="25" a="1"/>
  <c r="R1280" i="25" s="1"/>
  <c r="R1279" i="25" a="1"/>
  <c r="R1279" i="25" s="1"/>
  <c r="R1278" i="25" a="1"/>
  <c r="R1278" i="25" s="1"/>
  <c r="R1277" i="25" a="1"/>
  <c r="R1277" i="25" s="1"/>
  <c r="R1276" i="25" a="1"/>
  <c r="R1276" i="25" s="1"/>
  <c r="R1275" i="25" a="1"/>
  <c r="R1275" i="25" s="1"/>
  <c r="R1274" i="25" a="1"/>
  <c r="R1274" i="25" s="1"/>
  <c r="R1273" i="25" a="1"/>
  <c r="R1273" i="25" s="1"/>
  <c r="R1272" i="25" a="1"/>
  <c r="R1272" i="25" s="1"/>
  <c r="R1271" i="25" a="1"/>
  <c r="R1271" i="25" s="1"/>
  <c r="R1270" i="25" a="1"/>
  <c r="R1270" i="25" s="1"/>
  <c r="R1269" i="25" a="1"/>
  <c r="R1269" i="25" s="1"/>
  <c r="R1268" i="25" a="1"/>
  <c r="R1268" i="25" s="1"/>
  <c r="R1267" i="25" a="1"/>
  <c r="R1267" i="25" s="1"/>
  <c r="R1266" i="25" a="1"/>
  <c r="R1266" i="25" s="1"/>
  <c r="R1265" i="25" a="1"/>
  <c r="R1265" i="25" s="1"/>
  <c r="R1264" i="25" a="1"/>
  <c r="R1264" i="25" s="1"/>
  <c r="R1263" i="25" a="1"/>
  <c r="R1263" i="25" s="1"/>
  <c r="R1262" i="25" a="1"/>
  <c r="R1262" i="25" s="1"/>
  <c r="R1261" i="25" a="1"/>
  <c r="R1261" i="25" s="1"/>
  <c r="R1260" i="25" a="1"/>
  <c r="R1260" i="25" s="1"/>
  <c r="R1259" i="25" a="1"/>
  <c r="R1259" i="25" s="1"/>
  <c r="R1258" i="25" a="1"/>
  <c r="R1258" i="25" s="1"/>
  <c r="R1257" i="25" a="1"/>
  <c r="R1257" i="25" s="1"/>
  <c r="R1256" i="25" a="1"/>
  <c r="R1256" i="25" s="1"/>
  <c r="R1255" i="25" a="1"/>
  <c r="R1255" i="25" s="1"/>
  <c r="R1254" i="25" a="1"/>
  <c r="R1254" i="25" s="1"/>
  <c r="R1253" i="25" a="1"/>
  <c r="R1253" i="25" s="1"/>
  <c r="R1252" i="25" a="1"/>
  <c r="R1252" i="25" s="1"/>
  <c r="R1251" i="25" a="1"/>
  <c r="R1251" i="25" s="1"/>
  <c r="R1250" i="25" a="1"/>
  <c r="R1250" i="25" s="1"/>
  <c r="R1249" i="25" a="1"/>
  <c r="R1249" i="25" s="1"/>
  <c r="R1248" i="25" a="1"/>
  <c r="R1248" i="25" s="1"/>
  <c r="R1247" i="25" a="1"/>
  <c r="R1247" i="25" s="1"/>
  <c r="R1246" i="25" a="1"/>
  <c r="R1246" i="25" s="1"/>
  <c r="R1245" i="25" a="1"/>
  <c r="R1245" i="25" s="1"/>
  <c r="R1244" i="25" a="1"/>
  <c r="R1244" i="25" s="1"/>
  <c r="R1243" i="25" a="1"/>
  <c r="R1243" i="25" s="1"/>
  <c r="R1242" i="25" a="1"/>
  <c r="R1242" i="25" s="1"/>
  <c r="R1241" i="25" a="1"/>
  <c r="R1241" i="25" s="1"/>
  <c r="R1240" i="25" a="1"/>
  <c r="R1240" i="25" s="1"/>
  <c r="R1239" i="25" a="1"/>
  <c r="R1239" i="25" s="1"/>
  <c r="R1238" i="25" a="1"/>
  <c r="R1238" i="25" s="1"/>
  <c r="R1237" i="25" a="1"/>
  <c r="R1237" i="25" s="1"/>
  <c r="R1236" i="25" a="1"/>
  <c r="R1236" i="25" s="1"/>
  <c r="R1235" i="25" a="1"/>
  <c r="R1235" i="25" s="1"/>
  <c r="R1234" i="25" a="1"/>
  <c r="R1234" i="25" s="1"/>
  <c r="R1233" i="25" a="1"/>
  <c r="R1233" i="25" s="1"/>
  <c r="R1232" i="25" a="1"/>
  <c r="R1232" i="25" s="1"/>
  <c r="R1231" i="25" a="1"/>
  <c r="R1231" i="25" s="1"/>
  <c r="R1230" i="25" a="1"/>
  <c r="R1230" i="25" s="1"/>
  <c r="R1229" i="25" a="1"/>
  <c r="R1229" i="25" s="1"/>
  <c r="R1228" i="25" a="1"/>
  <c r="R1228" i="25" s="1"/>
  <c r="R1227" i="25" a="1"/>
  <c r="R1227" i="25" s="1"/>
  <c r="R1226" i="25" a="1"/>
  <c r="R1226" i="25" s="1"/>
  <c r="R1225" i="25" a="1"/>
  <c r="R1225" i="25" s="1"/>
  <c r="R1224" i="25" a="1"/>
  <c r="R1224" i="25" s="1"/>
  <c r="R1223" i="25" a="1"/>
  <c r="R1223" i="25" s="1"/>
  <c r="R1222" i="25" a="1"/>
  <c r="R1222" i="25" s="1"/>
  <c r="R1221" i="25" a="1"/>
  <c r="R1221" i="25" s="1"/>
  <c r="R1220" i="25" a="1"/>
  <c r="R1220" i="25" s="1"/>
  <c r="R1219" i="25" a="1"/>
  <c r="R1219" i="25" s="1"/>
  <c r="R1218" i="25" a="1"/>
  <c r="R1218" i="25" s="1"/>
  <c r="R1217" i="25" a="1"/>
  <c r="R1217" i="25" s="1"/>
  <c r="R1216" i="25" a="1"/>
  <c r="R1216" i="25" s="1"/>
  <c r="R1215" i="25" a="1"/>
  <c r="R1215" i="25" s="1"/>
  <c r="R1214" i="25" a="1"/>
  <c r="R1214" i="25" s="1"/>
  <c r="R1213" i="25" a="1"/>
  <c r="R1213" i="25" s="1"/>
  <c r="R1212" i="25" a="1"/>
  <c r="R1212" i="25" s="1"/>
  <c r="R1211" i="25" a="1"/>
  <c r="R1211" i="25" s="1"/>
  <c r="R1210" i="25" a="1"/>
  <c r="R1210" i="25" s="1"/>
  <c r="R1209" i="25" a="1"/>
  <c r="R1209" i="25" s="1"/>
  <c r="R1208" i="25" a="1"/>
  <c r="R1208" i="25" s="1"/>
  <c r="R1207" i="25" a="1"/>
  <c r="R1207" i="25" s="1"/>
  <c r="R1206" i="25" a="1"/>
  <c r="R1206" i="25" s="1"/>
  <c r="R1205" i="25" a="1"/>
  <c r="R1205" i="25" s="1"/>
  <c r="R1204" i="25" a="1"/>
  <c r="R1204" i="25" s="1"/>
  <c r="R1203" i="25" a="1"/>
  <c r="R1203" i="25" s="1"/>
  <c r="R1202" i="25" a="1"/>
  <c r="R1202" i="25" s="1"/>
  <c r="R1201" i="25" a="1"/>
  <c r="R1201" i="25" s="1"/>
  <c r="R1200" i="25" a="1"/>
  <c r="R1200" i="25" s="1"/>
  <c r="R1199" i="25" a="1"/>
  <c r="R1199" i="25" s="1"/>
  <c r="R1198" i="25" a="1"/>
  <c r="R1198" i="25" s="1"/>
  <c r="R1197" i="25" a="1"/>
  <c r="R1197" i="25" s="1"/>
  <c r="R1196" i="25" a="1"/>
  <c r="R1196" i="25" s="1"/>
  <c r="R1195" i="25" a="1"/>
  <c r="R1195" i="25" s="1"/>
  <c r="R1194" i="25" a="1"/>
  <c r="R1194" i="25" s="1"/>
  <c r="R1193" i="25" a="1"/>
  <c r="R1193" i="25" s="1"/>
  <c r="R1192" i="25" a="1"/>
  <c r="R1192" i="25" s="1"/>
  <c r="R1191" i="25" a="1"/>
  <c r="R1191" i="25" s="1"/>
  <c r="R1190" i="25" a="1"/>
  <c r="R1190" i="25" s="1"/>
  <c r="R1189" i="25" a="1"/>
  <c r="R1189" i="25" s="1"/>
  <c r="R1188" i="25" a="1"/>
  <c r="R1188" i="25" s="1"/>
  <c r="R1187" i="25" a="1"/>
  <c r="R1187" i="25" s="1"/>
  <c r="R1186" i="25" a="1"/>
  <c r="R1186" i="25" s="1"/>
  <c r="R1185" i="25" a="1"/>
  <c r="R1185" i="25" s="1"/>
  <c r="R1184" i="25" a="1"/>
  <c r="R1184" i="25" s="1"/>
  <c r="R1183" i="25" a="1"/>
  <c r="R1183" i="25" s="1"/>
  <c r="R1182" i="25" a="1"/>
  <c r="R1182" i="25" s="1"/>
  <c r="R1181" i="25" a="1"/>
  <c r="R1181" i="25" s="1"/>
  <c r="R1180" i="25" a="1"/>
  <c r="R1180" i="25" s="1"/>
  <c r="R1179" i="25" a="1"/>
  <c r="R1179" i="25" s="1"/>
  <c r="R1178" i="25" a="1"/>
  <c r="R1178" i="25" s="1"/>
  <c r="R1177" i="25" a="1"/>
  <c r="R1177" i="25" s="1"/>
  <c r="R1176" i="25" a="1"/>
  <c r="R1176" i="25" s="1"/>
  <c r="R1175" i="25" a="1"/>
  <c r="R1175" i="25" s="1"/>
  <c r="R1174" i="25" a="1"/>
  <c r="R1174" i="25" s="1"/>
  <c r="R1173" i="25" a="1"/>
  <c r="R1173" i="25" s="1"/>
  <c r="R1172" i="25" a="1"/>
  <c r="R1172" i="25" s="1"/>
  <c r="R1171" i="25" a="1"/>
  <c r="R1171" i="25" s="1"/>
  <c r="R1170" i="25" a="1"/>
  <c r="R1170" i="25" s="1"/>
  <c r="R1169" i="25" a="1"/>
  <c r="R1169" i="25" s="1"/>
  <c r="R1168" i="25" a="1"/>
  <c r="R1168" i="25" s="1"/>
  <c r="R1167" i="25" a="1"/>
  <c r="R1167" i="25" s="1"/>
  <c r="R1166" i="25" a="1"/>
  <c r="R1166" i="25" s="1"/>
  <c r="R1165" i="25" a="1"/>
  <c r="R1165" i="25" s="1"/>
  <c r="R1164" i="25" a="1"/>
  <c r="R1164" i="25" s="1"/>
  <c r="R1163" i="25" a="1"/>
  <c r="R1163" i="25" s="1"/>
  <c r="R1162" i="25" a="1"/>
  <c r="R1162" i="25" s="1"/>
  <c r="R1161" i="25" a="1"/>
  <c r="R1161" i="25" s="1"/>
  <c r="R1160" i="25" a="1"/>
  <c r="R1160" i="25" s="1"/>
  <c r="R1159" i="25" a="1"/>
  <c r="R1159" i="25" s="1"/>
  <c r="R1158" i="25" a="1"/>
  <c r="R1158" i="25" s="1"/>
  <c r="R1157" i="25" a="1"/>
  <c r="R1157" i="25" s="1"/>
  <c r="R1156" i="25" a="1"/>
  <c r="R1156" i="25" s="1"/>
  <c r="R1155" i="25" a="1"/>
  <c r="R1155" i="25" s="1"/>
  <c r="R1154" i="25" a="1"/>
  <c r="R1154" i="25" s="1"/>
  <c r="R1153" i="25" a="1"/>
  <c r="R1153" i="25" s="1"/>
  <c r="R1152" i="25" a="1"/>
  <c r="R1152" i="25" s="1"/>
  <c r="R1151" i="25" a="1"/>
  <c r="R1151" i="25" s="1"/>
  <c r="R1150" i="25" a="1"/>
  <c r="R1150" i="25" s="1"/>
  <c r="R1149" i="25" a="1"/>
  <c r="R1149" i="25" s="1"/>
  <c r="R1148" i="25" a="1"/>
  <c r="R1148" i="25" s="1"/>
  <c r="R1147" i="25" a="1"/>
  <c r="R1147" i="25" s="1"/>
  <c r="R1146" i="25" a="1"/>
  <c r="R1146" i="25" s="1"/>
  <c r="R1145" i="25" a="1"/>
  <c r="R1145" i="25" s="1"/>
  <c r="R1144" i="25" a="1"/>
  <c r="R1144" i="25" s="1"/>
  <c r="R1143" i="25" a="1"/>
  <c r="R1143" i="25" s="1"/>
  <c r="R1142" i="25" a="1"/>
  <c r="R1142" i="25" s="1"/>
  <c r="R1141" i="25" a="1"/>
  <c r="R1141" i="25" s="1"/>
  <c r="R1140" i="25" a="1"/>
  <c r="R1140" i="25" s="1"/>
  <c r="R1139" i="25" a="1"/>
  <c r="R1139" i="25" s="1"/>
  <c r="R1138" i="25" a="1"/>
  <c r="R1138" i="25" s="1"/>
  <c r="R1137" i="25" a="1"/>
  <c r="R1137" i="25" s="1"/>
  <c r="R1136" i="25" a="1"/>
  <c r="R1136" i="25" s="1"/>
  <c r="R1135" i="25" a="1"/>
  <c r="R1135" i="25" s="1"/>
  <c r="R1134" i="25" a="1"/>
  <c r="R1134" i="25" s="1"/>
  <c r="R1133" i="25" a="1"/>
  <c r="R1133" i="25" s="1"/>
  <c r="R1132" i="25" a="1"/>
  <c r="R1132" i="25" s="1"/>
  <c r="R1131" i="25" a="1"/>
  <c r="R1131" i="25" s="1"/>
  <c r="R1130" i="25" a="1"/>
  <c r="R1130" i="25" s="1"/>
  <c r="R1129" i="25" a="1"/>
  <c r="R1129" i="25" s="1"/>
  <c r="R1128" i="25" a="1"/>
  <c r="R1128" i="25" s="1"/>
  <c r="R1127" i="25" a="1"/>
  <c r="R1127" i="25" s="1"/>
  <c r="R1126" i="25" a="1"/>
  <c r="R1126" i="25" s="1"/>
  <c r="R1125" i="25" a="1"/>
  <c r="R1125" i="25" s="1"/>
  <c r="R1124" i="25" a="1"/>
  <c r="R1124" i="25" s="1"/>
  <c r="R1123" i="25" a="1"/>
  <c r="R1123" i="25" s="1"/>
  <c r="R1122" i="25" a="1"/>
  <c r="R1122" i="25" s="1"/>
  <c r="R1121" i="25" a="1"/>
  <c r="R1121" i="25" s="1"/>
  <c r="R1120" i="25" a="1"/>
  <c r="R1120" i="25" s="1"/>
  <c r="R1119" i="25" a="1"/>
  <c r="R1119" i="25" s="1"/>
  <c r="R1118" i="25" a="1"/>
  <c r="R1118" i="25" s="1"/>
  <c r="R1117" i="25" a="1"/>
  <c r="R1117" i="25" s="1"/>
  <c r="R1116" i="25" a="1"/>
  <c r="R1116" i="25" s="1"/>
  <c r="R1115" i="25" a="1"/>
  <c r="R1115" i="25" s="1"/>
  <c r="R1114" i="25" a="1"/>
  <c r="R1114" i="25" s="1"/>
  <c r="R1113" i="25" a="1"/>
  <c r="R1113" i="25" s="1"/>
  <c r="R1112" i="25" a="1"/>
  <c r="R1112" i="25" s="1"/>
  <c r="R1111" i="25" a="1"/>
  <c r="R1111" i="25" s="1"/>
  <c r="R1110" i="25" a="1"/>
  <c r="R1110" i="25" s="1"/>
  <c r="R1109" i="25" a="1"/>
  <c r="R1109" i="25" s="1"/>
  <c r="R1108" i="25" a="1"/>
  <c r="R1108" i="25" s="1"/>
  <c r="R1107" i="25" a="1"/>
  <c r="R1107" i="25" s="1"/>
  <c r="R1106" i="25" a="1"/>
  <c r="R1106" i="25" s="1"/>
  <c r="R1105" i="25" a="1"/>
  <c r="R1105" i="25" s="1"/>
  <c r="R1104" i="25" a="1"/>
  <c r="R1104" i="25" s="1"/>
  <c r="R1103" i="25" a="1"/>
  <c r="R1103" i="25" s="1"/>
  <c r="R1102" i="25" a="1"/>
  <c r="R1102" i="25" s="1"/>
  <c r="R1101" i="25" a="1"/>
  <c r="R1101" i="25" s="1"/>
  <c r="R1100" i="25" a="1"/>
  <c r="R1100" i="25" s="1"/>
  <c r="R1099" i="25" a="1"/>
  <c r="R1099" i="25" s="1"/>
  <c r="R1098" i="25" a="1"/>
  <c r="R1098" i="25" s="1"/>
  <c r="R1097" i="25" a="1"/>
  <c r="R1097" i="25" s="1"/>
  <c r="R1096" i="25" a="1"/>
  <c r="R1096" i="25" s="1"/>
  <c r="R1095" i="25" a="1"/>
  <c r="R1095" i="25" s="1"/>
  <c r="R1094" i="25" a="1"/>
  <c r="R1094" i="25" s="1"/>
  <c r="R1093" i="25" a="1"/>
  <c r="R1093" i="25" s="1"/>
  <c r="R1092" i="25" a="1"/>
  <c r="R1092" i="25" s="1"/>
  <c r="R1091" i="25" a="1"/>
  <c r="R1091" i="25" s="1"/>
  <c r="R1090" i="25" a="1"/>
  <c r="R1090" i="25" s="1"/>
  <c r="R1089" i="25" a="1"/>
  <c r="R1089" i="25" s="1"/>
  <c r="R1088" i="25" a="1"/>
  <c r="R1088" i="25" s="1"/>
  <c r="R1087" i="25" a="1"/>
  <c r="R1087" i="25" s="1"/>
  <c r="R1086" i="25" a="1"/>
  <c r="R1086" i="25" s="1"/>
  <c r="R1085" i="25" a="1"/>
  <c r="R1085" i="25" s="1"/>
  <c r="R1084" i="25" a="1"/>
  <c r="R1084" i="25" s="1"/>
  <c r="R1083" i="25" a="1"/>
  <c r="R1083" i="25" s="1"/>
  <c r="R1082" i="25" a="1"/>
  <c r="R1082" i="25" s="1"/>
  <c r="R1081" i="25" a="1"/>
  <c r="R1081" i="25" s="1"/>
  <c r="R1080" i="25" a="1"/>
  <c r="R1080" i="25" s="1"/>
  <c r="R1079" i="25" a="1"/>
  <c r="R1079" i="25" s="1"/>
  <c r="R1078" i="25" a="1"/>
  <c r="R1078" i="25" s="1"/>
  <c r="R1077" i="25" a="1"/>
  <c r="R1077" i="25" s="1"/>
  <c r="R1076" i="25" a="1"/>
  <c r="R1076" i="25" s="1"/>
  <c r="R1075" i="25" a="1"/>
  <c r="R1075" i="25" s="1"/>
  <c r="R1074" i="25" a="1"/>
  <c r="R1074" i="25" s="1"/>
  <c r="R1073" i="25" a="1"/>
  <c r="R1073" i="25" s="1"/>
  <c r="R1072" i="25" a="1"/>
  <c r="R1072" i="25" s="1"/>
  <c r="R1071" i="25" a="1"/>
  <c r="R1071" i="25" s="1"/>
  <c r="R1070" i="25" a="1"/>
  <c r="R1070" i="25" s="1"/>
  <c r="R1069" i="25" a="1"/>
  <c r="R1069" i="25" s="1"/>
  <c r="R1068" i="25" a="1"/>
  <c r="R1068" i="25" s="1"/>
  <c r="R1067" i="25" a="1"/>
  <c r="R1067" i="25" s="1"/>
  <c r="R1066" i="25" a="1"/>
  <c r="R1066" i="25" s="1"/>
  <c r="R1065" i="25" a="1"/>
  <c r="R1065" i="25" s="1"/>
  <c r="R1064" i="25" a="1"/>
  <c r="R1064" i="25" s="1"/>
  <c r="R1063" i="25" a="1"/>
  <c r="R1063" i="25" s="1"/>
  <c r="R1062" i="25" a="1"/>
  <c r="R1062" i="25" s="1"/>
  <c r="R1061" i="25" a="1"/>
  <c r="R1061" i="25" s="1"/>
  <c r="R1060" i="25" a="1"/>
  <c r="R1060" i="25" s="1"/>
  <c r="R1059" i="25" a="1"/>
  <c r="R1059" i="25" s="1"/>
  <c r="R1058" i="25" a="1"/>
  <c r="R1058" i="25" s="1"/>
  <c r="R1057" i="25" a="1"/>
  <c r="R1057" i="25" s="1"/>
  <c r="R1056" i="25" a="1"/>
  <c r="R1056" i="25" s="1"/>
  <c r="R1055" i="25" a="1"/>
  <c r="R1055" i="25" s="1"/>
  <c r="R1054" i="25" a="1"/>
  <c r="R1054" i="25" s="1"/>
  <c r="R1053" i="25" a="1"/>
  <c r="R1053" i="25" s="1"/>
  <c r="R1052" i="25" a="1"/>
  <c r="R1052" i="25" s="1"/>
  <c r="R1051" i="25" a="1"/>
  <c r="R1051" i="25" s="1"/>
  <c r="R1050" i="25" a="1"/>
  <c r="R1050" i="25" s="1"/>
  <c r="R1049" i="25" a="1"/>
  <c r="R1049" i="25" s="1"/>
  <c r="R1048" i="25" a="1"/>
  <c r="R1048" i="25" s="1"/>
  <c r="R1047" i="25" a="1"/>
  <c r="R1047" i="25" s="1"/>
  <c r="R1046" i="25" a="1"/>
  <c r="R1046" i="25" s="1"/>
  <c r="R1045" i="25" a="1"/>
  <c r="R1045" i="25" s="1"/>
  <c r="R1044" i="25" a="1"/>
  <c r="R1044" i="25" s="1"/>
  <c r="R1043" i="25" a="1"/>
  <c r="R1043" i="25" s="1"/>
  <c r="R1042" i="25" a="1"/>
  <c r="R1042" i="25" s="1"/>
  <c r="R1041" i="25" a="1"/>
  <c r="R1041" i="25" s="1"/>
  <c r="R1040" i="25" a="1"/>
  <c r="R1040" i="25" s="1"/>
  <c r="R1039" i="25" a="1"/>
  <c r="R1039" i="25" s="1"/>
  <c r="R1038" i="25" a="1"/>
  <c r="R1038" i="25" s="1"/>
  <c r="R1037" i="25" a="1"/>
  <c r="R1037" i="25" s="1"/>
  <c r="R1036" i="25" a="1"/>
  <c r="R1036" i="25" s="1"/>
  <c r="R1035" i="25" a="1"/>
  <c r="R1035" i="25" s="1"/>
  <c r="R1034" i="25" a="1"/>
  <c r="R1034" i="25" s="1"/>
  <c r="R1033" i="25" a="1"/>
  <c r="R1033" i="25" s="1"/>
  <c r="R1032" i="25" a="1"/>
  <c r="R1032" i="25" s="1"/>
  <c r="R1031" i="25" a="1"/>
  <c r="R1031" i="25" s="1"/>
  <c r="R1030" i="25" a="1"/>
  <c r="R1030" i="25" s="1"/>
  <c r="R1029" i="25" a="1"/>
  <c r="R1029" i="25" s="1"/>
  <c r="R1028" i="25" a="1"/>
  <c r="R1028" i="25" s="1"/>
  <c r="R1027" i="25" a="1"/>
  <c r="R1027" i="25" s="1"/>
  <c r="R1026" i="25" a="1"/>
  <c r="R1026" i="25" s="1"/>
  <c r="R1025" i="25" a="1"/>
  <c r="R1025" i="25" s="1"/>
  <c r="R1024" i="25" a="1"/>
  <c r="R1024" i="25" s="1"/>
  <c r="R1023" i="25" a="1"/>
  <c r="R1023" i="25" s="1"/>
  <c r="R1022" i="25" a="1"/>
  <c r="R1022" i="25" s="1"/>
  <c r="R1021" i="25" a="1"/>
  <c r="R1021" i="25" s="1"/>
  <c r="R1020" i="25" a="1"/>
  <c r="R1020" i="25" s="1"/>
  <c r="R1019" i="25" a="1"/>
  <c r="R1019" i="25" s="1"/>
  <c r="R1018" i="25" a="1"/>
  <c r="R1018" i="25" s="1"/>
  <c r="R1017" i="25" a="1"/>
  <c r="R1017" i="25" s="1"/>
  <c r="R1016" i="25" a="1"/>
  <c r="R1016" i="25" s="1"/>
  <c r="R1015" i="25" a="1"/>
  <c r="R1015" i="25" s="1"/>
  <c r="R1014" i="25" a="1"/>
  <c r="R1014" i="25" s="1"/>
  <c r="R1013" i="25" a="1"/>
  <c r="R1013" i="25" s="1"/>
  <c r="R1012" i="25" a="1"/>
  <c r="R1012" i="25" s="1"/>
  <c r="R1011" i="25" a="1"/>
  <c r="R1011" i="25" s="1"/>
  <c r="R1010" i="25" a="1"/>
  <c r="R1010" i="25" s="1"/>
  <c r="R1009" i="25" a="1"/>
  <c r="R1009" i="25" s="1"/>
  <c r="R1008" i="25" a="1"/>
  <c r="R1008" i="25" s="1"/>
  <c r="R1007" i="25" a="1"/>
  <c r="R1007" i="25" s="1"/>
  <c r="R1006" i="25" a="1"/>
  <c r="R1006" i="25" s="1"/>
  <c r="R1005" i="25" a="1"/>
  <c r="R1005" i="25" s="1"/>
  <c r="R1004" i="25" a="1"/>
  <c r="R1004" i="25" s="1"/>
  <c r="R1003" i="25" a="1"/>
  <c r="R1003" i="25" s="1"/>
  <c r="R1002" i="25" a="1"/>
  <c r="R1002" i="25" s="1"/>
  <c r="R1001" i="25" a="1"/>
  <c r="R1001" i="25" s="1"/>
  <c r="R1000" i="25" a="1"/>
  <c r="R1000" i="25" s="1"/>
  <c r="R999" i="25" a="1"/>
  <c r="R999" i="25" s="1"/>
  <c r="R998" i="25" a="1"/>
  <c r="R998" i="25" s="1"/>
  <c r="R997" i="25" a="1"/>
  <c r="R997" i="25" s="1"/>
  <c r="R996" i="25" a="1"/>
  <c r="R996" i="25" s="1"/>
  <c r="R995" i="25" a="1"/>
  <c r="R995" i="25" s="1"/>
  <c r="R994" i="25" a="1"/>
  <c r="R994" i="25" s="1"/>
  <c r="R993" i="25" a="1"/>
  <c r="R993" i="25" s="1"/>
  <c r="R992" i="25" a="1"/>
  <c r="R992" i="25" s="1"/>
  <c r="R991" i="25" a="1"/>
  <c r="R991" i="25" s="1"/>
  <c r="R990" i="25" a="1"/>
  <c r="R990" i="25" s="1"/>
  <c r="R989" i="25" a="1"/>
  <c r="R989" i="25" s="1"/>
  <c r="R988" i="25" a="1"/>
  <c r="R988" i="25" s="1"/>
  <c r="R987" i="25" a="1"/>
  <c r="R987" i="25" s="1"/>
  <c r="R986" i="25" a="1"/>
  <c r="R986" i="25" s="1"/>
  <c r="R985" i="25" a="1"/>
  <c r="R985" i="25" s="1"/>
  <c r="R984" i="25" a="1"/>
  <c r="R984" i="25" s="1"/>
  <c r="R983" i="25" a="1"/>
  <c r="R983" i="25" s="1"/>
  <c r="R982" i="25" a="1"/>
  <c r="R982" i="25" s="1"/>
  <c r="R981" i="25" a="1"/>
  <c r="R981" i="25" s="1"/>
  <c r="R980" i="25" a="1"/>
  <c r="R980" i="25" s="1"/>
  <c r="R979" i="25" a="1"/>
  <c r="R979" i="25" s="1"/>
  <c r="R978" i="25" a="1"/>
  <c r="R978" i="25" s="1"/>
  <c r="R977" i="25" a="1"/>
  <c r="R977" i="25" s="1"/>
  <c r="R976" i="25" a="1"/>
  <c r="R976" i="25" s="1"/>
  <c r="R975" i="25" a="1"/>
  <c r="R975" i="25" s="1"/>
  <c r="R974" i="25" a="1"/>
  <c r="R974" i="25" s="1"/>
  <c r="R973" i="25" a="1"/>
  <c r="R973" i="25" s="1"/>
  <c r="R972" i="25" a="1"/>
  <c r="R972" i="25" s="1"/>
  <c r="R971" i="25" a="1"/>
  <c r="R971" i="25" s="1"/>
  <c r="R970" i="25" a="1"/>
  <c r="R970" i="25" s="1"/>
  <c r="R969" i="25" a="1"/>
  <c r="R969" i="25" s="1"/>
  <c r="R968" i="25" a="1"/>
  <c r="R968" i="25" s="1"/>
  <c r="R967" i="25" a="1"/>
  <c r="R967" i="25" s="1"/>
  <c r="R966" i="25" a="1"/>
  <c r="R966" i="25" s="1"/>
  <c r="R965" i="25" a="1"/>
  <c r="R965" i="25" s="1"/>
  <c r="R964" i="25" a="1"/>
  <c r="R964" i="25" s="1"/>
  <c r="R963" i="25" a="1"/>
  <c r="R963" i="25" s="1"/>
  <c r="R962" i="25" a="1"/>
  <c r="R962" i="25" s="1"/>
  <c r="R961" i="25" a="1"/>
  <c r="R961" i="25" s="1"/>
  <c r="R960" i="25" a="1"/>
  <c r="R960" i="25" s="1"/>
  <c r="R959" i="25" a="1"/>
  <c r="R959" i="25" s="1"/>
  <c r="R958" i="25" a="1"/>
  <c r="R958" i="25" s="1"/>
  <c r="R957" i="25" a="1"/>
  <c r="R957" i="25" s="1"/>
  <c r="R956" i="25" a="1"/>
  <c r="R956" i="25" s="1"/>
  <c r="R955" i="25" a="1"/>
  <c r="R955" i="25" s="1"/>
  <c r="R954" i="25" a="1"/>
  <c r="R954" i="25" s="1"/>
  <c r="R953" i="25" a="1"/>
  <c r="R953" i="25" s="1"/>
  <c r="R952" i="25" a="1"/>
  <c r="R952" i="25" s="1"/>
  <c r="R951" i="25" a="1"/>
  <c r="R951" i="25" s="1"/>
  <c r="R950" i="25" a="1"/>
  <c r="R950" i="25" s="1"/>
  <c r="R949" i="25" a="1"/>
  <c r="R949" i="25" s="1"/>
  <c r="R948" i="25" a="1"/>
  <c r="R948" i="25" s="1"/>
  <c r="R947" i="25" a="1"/>
  <c r="R947" i="25" s="1"/>
  <c r="R946" i="25" a="1"/>
  <c r="R946" i="25" s="1"/>
  <c r="R945" i="25" a="1"/>
  <c r="R945" i="25" s="1"/>
  <c r="R944" i="25" a="1"/>
  <c r="R944" i="25" s="1"/>
  <c r="R943" i="25" a="1"/>
  <c r="R943" i="25" s="1"/>
  <c r="R942" i="25" a="1"/>
  <c r="R942" i="25" s="1"/>
  <c r="R941" i="25" a="1"/>
  <c r="R941" i="25" s="1"/>
  <c r="R940" i="25" a="1"/>
  <c r="R940" i="25" s="1"/>
  <c r="R939" i="25" a="1"/>
  <c r="R939" i="25" s="1"/>
  <c r="R938" i="25" a="1"/>
  <c r="R938" i="25" s="1"/>
  <c r="R937" i="25" a="1"/>
  <c r="R937" i="25" s="1"/>
  <c r="R936" i="25" a="1"/>
  <c r="R936" i="25" s="1"/>
  <c r="R935" i="25" a="1"/>
  <c r="R935" i="25" s="1"/>
  <c r="R934" i="25" a="1"/>
  <c r="R934" i="25" s="1"/>
  <c r="R933" i="25" a="1"/>
  <c r="R933" i="25" s="1"/>
  <c r="R932" i="25" a="1"/>
  <c r="R932" i="25" s="1"/>
  <c r="R931" i="25" a="1"/>
  <c r="R931" i="25" s="1"/>
  <c r="R930" i="25" a="1"/>
  <c r="R930" i="25" s="1"/>
  <c r="R929" i="25" a="1"/>
  <c r="R929" i="25" s="1"/>
  <c r="R928" i="25" a="1"/>
  <c r="R928" i="25" s="1"/>
  <c r="R927" i="25" a="1"/>
  <c r="R927" i="25" s="1"/>
  <c r="R926" i="25" a="1"/>
  <c r="R926" i="25" s="1"/>
  <c r="R925" i="25" a="1"/>
  <c r="R925" i="25" s="1"/>
  <c r="R924" i="25" a="1"/>
  <c r="R924" i="25" s="1"/>
  <c r="R923" i="25" a="1"/>
  <c r="R923" i="25" s="1"/>
  <c r="R922" i="25" a="1"/>
  <c r="R922" i="25" s="1"/>
  <c r="R921" i="25" a="1"/>
  <c r="R921" i="25" s="1"/>
  <c r="R920" i="25" a="1"/>
  <c r="R920" i="25" s="1"/>
  <c r="R919" i="25" a="1"/>
  <c r="R919" i="25" s="1"/>
  <c r="R918" i="25" a="1"/>
  <c r="R918" i="25" s="1"/>
  <c r="R917" i="25" a="1"/>
  <c r="R917" i="25" s="1"/>
  <c r="R916" i="25" a="1"/>
  <c r="R916" i="25" s="1"/>
  <c r="R915" i="25" a="1"/>
  <c r="R915" i="25" s="1"/>
  <c r="R914" i="25" a="1"/>
  <c r="R914" i="25" s="1"/>
  <c r="R913" i="25" a="1"/>
  <c r="R913" i="25" s="1"/>
  <c r="R912" i="25" a="1"/>
  <c r="R912" i="25" s="1"/>
  <c r="R911" i="25" a="1"/>
  <c r="R911" i="25" s="1"/>
  <c r="R910" i="25" a="1"/>
  <c r="R910" i="25" s="1"/>
  <c r="R909" i="25" a="1"/>
  <c r="R909" i="25" s="1"/>
  <c r="R908" i="25" a="1"/>
  <c r="R908" i="25" s="1"/>
  <c r="R907" i="25" a="1"/>
  <c r="R907" i="25" s="1"/>
  <c r="R906" i="25" a="1"/>
  <c r="R906" i="25" s="1"/>
  <c r="R905" i="25" a="1"/>
  <c r="R905" i="25" s="1"/>
  <c r="R904" i="25" a="1"/>
  <c r="R904" i="25" s="1"/>
  <c r="R903" i="25" a="1"/>
  <c r="R903" i="25" s="1"/>
  <c r="R902" i="25" a="1"/>
  <c r="R902" i="25" s="1"/>
  <c r="R901" i="25" a="1"/>
  <c r="R901" i="25" s="1"/>
  <c r="R900" i="25" a="1"/>
  <c r="R900" i="25" s="1"/>
  <c r="R899" i="25" a="1"/>
  <c r="R899" i="25" s="1"/>
  <c r="R898" i="25" a="1"/>
  <c r="R898" i="25" s="1"/>
  <c r="R897" i="25" a="1"/>
  <c r="R897" i="25" s="1"/>
  <c r="R896" i="25" a="1"/>
  <c r="R896" i="25" s="1"/>
  <c r="R895" i="25" a="1"/>
  <c r="R895" i="25" s="1"/>
  <c r="R894" i="25" a="1"/>
  <c r="R894" i="25" s="1"/>
  <c r="R893" i="25" a="1"/>
  <c r="R893" i="25" s="1"/>
  <c r="R892" i="25" a="1"/>
  <c r="R892" i="25" s="1"/>
  <c r="R891" i="25" a="1"/>
  <c r="R891" i="25" s="1"/>
  <c r="R890" i="25" a="1"/>
  <c r="R890" i="25" s="1"/>
  <c r="R889" i="25" a="1"/>
  <c r="R889" i="25" s="1"/>
  <c r="R888" i="25" a="1"/>
  <c r="R888" i="25" s="1"/>
  <c r="R887" i="25" a="1"/>
  <c r="R887" i="25" s="1"/>
  <c r="R886" i="25" a="1"/>
  <c r="R886" i="25" s="1"/>
  <c r="R885" i="25" a="1"/>
  <c r="R885" i="25" s="1"/>
  <c r="R884" i="25" a="1"/>
  <c r="R884" i="25" s="1"/>
  <c r="R883" i="25" a="1"/>
  <c r="R883" i="25" s="1"/>
  <c r="R882" i="25" a="1"/>
  <c r="R882" i="25" s="1"/>
  <c r="R881" i="25" a="1"/>
  <c r="R881" i="25" s="1"/>
  <c r="R880" i="25" a="1"/>
  <c r="R880" i="25" s="1"/>
  <c r="R879" i="25" a="1"/>
  <c r="R879" i="25" s="1"/>
  <c r="R878" i="25" a="1"/>
  <c r="R878" i="25" s="1"/>
  <c r="R877" i="25" a="1"/>
  <c r="R877" i="25" s="1"/>
  <c r="R876" i="25" a="1"/>
  <c r="R876" i="25" s="1"/>
  <c r="R875" i="25" a="1"/>
  <c r="R875" i="25" s="1"/>
  <c r="R874" i="25" a="1"/>
  <c r="R874" i="25" s="1"/>
  <c r="R873" i="25" a="1"/>
  <c r="R873" i="25" s="1"/>
  <c r="R872" i="25" a="1"/>
  <c r="R872" i="25" s="1"/>
  <c r="R871" i="25" a="1"/>
  <c r="R871" i="25" s="1"/>
  <c r="R870" i="25" a="1"/>
  <c r="R870" i="25" s="1"/>
  <c r="R869" i="25" a="1"/>
  <c r="R869" i="25" s="1"/>
  <c r="R868" i="25" a="1"/>
  <c r="R868" i="25" s="1"/>
  <c r="R867" i="25" a="1"/>
  <c r="R867" i="25" s="1"/>
  <c r="R866" i="25" a="1"/>
  <c r="R866" i="25" s="1"/>
  <c r="R865" i="25" a="1"/>
  <c r="R865" i="25" s="1"/>
  <c r="R864" i="25" a="1"/>
  <c r="R864" i="25" s="1"/>
  <c r="R863" i="25" a="1"/>
  <c r="R863" i="25" s="1"/>
  <c r="R862" i="25" a="1"/>
  <c r="R862" i="25" s="1"/>
  <c r="R861" i="25" a="1"/>
  <c r="R861" i="25" s="1"/>
  <c r="R860" i="25" a="1"/>
  <c r="R860" i="25" s="1"/>
  <c r="R859" i="25" a="1"/>
  <c r="R859" i="25" s="1"/>
  <c r="R858" i="25" a="1"/>
  <c r="R858" i="25" s="1"/>
  <c r="R857" i="25" a="1"/>
  <c r="R857" i="25" s="1"/>
  <c r="R856" i="25" a="1"/>
  <c r="R856" i="25" s="1"/>
  <c r="R855" i="25" a="1"/>
  <c r="R855" i="25" s="1"/>
  <c r="R854" i="25" a="1"/>
  <c r="R854" i="25" s="1"/>
  <c r="R853" i="25" a="1"/>
  <c r="R853" i="25" s="1"/>
  <c r="R852" i="25" a="1"/>
  <c r="R852" i="25" s="1"/>
  <c r="R851" i="25" a="1"/>
  <c r="R851" i="25" s="1"/>
  <c r="R850" i="25" a="1"/>
  <c r="R850" i="25" s="1"/>
  <c r="R849" i="25" a="1"/>
  <c r="R849" i="25" s="1"/>
  <c r="R848" i="25" a="1"/>
  <c r="R848" i="25" s="1"/>
  <c r="R847" i="25" a="1"/>
  <c r="R847" i="25" s="1"/>
  <c r="R846" i="25" a="1"/>
  <c r="R846" i="25" s="1"/>
  <c r="R845" i="25" a="1"/>
  <c r="R845" i="25" s="1"/>
  <c r="R844" i="25" a="1"/>
  <c r="R844" i="25" s="1"/>
  <c r="R843" i="25" a="1"/>
  <c r="R843" i="25" s="1"/>
  <c r="R842" i="25" a="1"/>
  <c r="R842" i="25" s="1"/>
  <c r="R841" i="25" a="1"/>
  <c r="R841" i="25" s="1"/>
  <c r="R840" i="25" a="1"/>
  <c r="R840" i="25" s="1"/>
  <c r="R839" i="25" a="1"/>
  <c r="R839" i="25" s="1"/>
  <c r="R838" i="25" a="1"/>
  <c r="R838" i="25" s="1"/>
  <c r="R837" i="25" a="1"/>
  <c r="R837" i="25" s="1"/>
  <c r="R836" i="25" a="1"/>
  <c r="R836" i="25" s="1"/>
  <c r="R835" i="25" a="1"/>
  <c r="R835" i="25" s="1"/>
  <c r="R834" i="25" a="1"/>
  <c r="R834" i="25" s="1"/>
  <c r="R833" i="25" a="1"/>
  <c r="R833" i="25" s="1"/>
  <c r="R832" i="25" a="1"/>
  <c r="R832" i="25" s="1"/>
  <c r="R831" i="25" a="1"/>
  <c r="R831" i="25" s="1"/>
  <c r="R830" i="25" a="1"/>
  <c r="R830" i="25" s="1"/>
  <c r="R829" i="25" a="1"/>
  <c r="R829" i="25" s="1"/>
  <c r="R828" i="25" a="1"/>
  <c r="R828" i="25" s="1"/>
  <c r="R827" i="25" a="1"/>
  <c r="R827" i="25" s="1"/>
  <c r="R826" i="25" a="1"/>
  <c r="R826" i="25" s="1"/>
  <c r="R825" i="25" a="1"/>
  <c r="R825" i="25" s="1"/>
  <c r="R824" i="25" a="1"/>
  <c r="R824" i="25" s="1"/>
  <c r="R823" i="25" a="1"/>
  <c r="R823" i="25" s="1"/>
  <c r="R822" i="25" a="1"/>
  <c r="R822" i="25" s="1"/>
  <c r="R821" i="25" a="1"/>
  <c r="R821" i="25" s="1"/>
  <c r="R820" i="25" a="1"/>
  <c r="R820" i="25" s="1"/>
  <c r="R819" i="25" a="1"/>
  <c r="R819" i="25" s="1"/>
  <c r="R818" i="25" a="1"/>
  <c r="R818" i="25" s="1"/>
  <c r="R817" i="25" a="1"/>
  <c r="R817" i="25" s="1"/>
  <c r="R816" i="25" a="1"/>
  <c r="R816" i="25" s="1"/>
  <c r="R815" i="25" a="1"/>
  <c r="R815" i="25" s="1"/>
  <c r="R814" i="25" a="1"/>
  <c r="R814" i="25" s="1"/>
  <c r="R813" i="25" a="1"/>
  <c r="R813" i="25" s="1"/>
  <c r="R812" i="25" a="1"/>
  <c r="R812" i="25" s="1"/>
  <c r="R811" i="25" a="1"/>
  <c r="R811" i="25" s="1"/>
  <c r="R810" i="25" a="1"/>
  <c r="R810" i="25" s="1"/>
  <c r="R809" i="25" a="1"/>
  <c r="R809" i="25" s="1"/>
  <c r="R808" i="25" a="1"/>
  <c r="R808" i="25" s="1"/>
  <c r="R807" i="25" a="1"/>
  <c r="R807" i="25" s="1"/>
  <c r="R806" i="25" a="1"/>
  <c r="R806" i="25" s="1"/>
  <c r="R805" i="25" a="1"/>
  <c r="R805" i="25" s="1"/>
  <c r="R804" i="25" a="1"/>
  <c r="R804" i="25" s="1"/>
  <c r="R803" i="25" a="1"/>
  <c r="R803" i="25" s="1"/>
  <c r="R802" i="25" a="1"/>
  <c r="R802" i="25" s="1"/>
  <c r="R801" i="25" a="1"/>
  <c r="R801" i="25" s="1"/>
  <c r="R800" i="25" a="1"/>
  <c r="R800" i="25" s="1"/>
  <c r="R799" i="25" a="1"/>
  <c r="R799" i="25" s="1"/>
  <c r="R798" i="25" a="1"/>
  <c r="R798" i="25" s="1"/>
  <c r="R797" i="25" a="1"/>
  <c r="R797" i="25" s="1"/>
  <c r="R796" i="25" a="1"/>
  <c r="R796" i="25" s="1"/>
  <c r="R795" i="25" a="1"/>
  <c r="R795" i="25" s="1"/>
  <c r="R794" i="25" a="1"/>
  <c r="R794" i="25" s="1"/>
  <c r="R793" i="25" a="1"/>
  <c r="R793" i="25" s="1"/>
  <c r="R792" i="25" a="1"/>
  <c r="R792" i="25" s="1"/>
  <c r="R791" i="25" a="1"/>
  <c r="R791" i="25" s="1"/>
  <c r="R790" i="25" a="1"/>
  <c r="R790" i="25" s="1"/>
  <c r="R789" i="25" a="1"/>
  <c r="R789" i="25" s="1"/>
  <c r="R788" i="25" a="1"/>
  <c r="R788" i="25" s="1"/>
  <c r="R787" i="25" a="1"/>
  <c r="R787" i="25" s="1"/>
  <c r="R786" i="25" a="1"/>
  <c r="R786" i="25" s="1"/>
  <c r="R785" i="25" a="1"/>
  <c r="R785" i="25" s="1"/>
  <c r="R784" i="25" a="1"/>
  <c r="R784" i="25" s="1"/>
  <c r="R783" i="25" a="1"/>
  <c r="R783" i="25" s="1"/>
  <c r="R782" i="25" a="1"/>
  <c r="R782" i="25" s="1"/>
  <c r="R781" i="25" a="1"/>
  <c r="R781" i="25" s="1"/>
  <c r="R780" i="25" a="1"/>
  <c r="R780" i="25" s="1"/>
  <c r="R779" i="25" a="1"/>
  <c r="R779" i="25" s="1"/>
  <c r="R778" i="25" a="1"/>
  <c r="R778" i="25" s="1"/>
  <c r="R777" i="25" a="1"/>
  <c r="R777" i="25" s="1"/>
  <c r="R776" i="25" a="1"/>
  <c r="R776" i="25" s="1"/>
  <c r="R775" i="25" a="1"/>
  <c r="R775" i="25" s="1"/>
  <c r="R774" i="25" a="1"/>
  <c r="R774" i="25" s="1"/>
  <c r="R773" i="25" a="1"/>
  <c r="R773" i="25" s="1"/>
  <c r="R772" i="25" a="1"/>
  <c r="R772" i="25" s="1"/>
  <c r="R771" i="25" a="1"/>
  <c r="R771" i="25" s="1"/>
  <c r="R770" i="25" a="1"/>
  <c r="R770" i="25" s="1"/>
  <c r="R769" i="25" a="1"/>
  <c r="R769" i="25" s="1"/>
  <c r="R768" i="25" a="1"/>
  <c r="R768" i="25" s="1"/>
  <c r="R767" i="25" a="1"/>
  <c r="R767" i="25" s="1"/>
  <c r="R766" i="25" a="1"/>
  <c r="R766" i="25" s="1"/>
  <c r="R765" i="25" a="1"/>
  <c r="R765" i="25" s="1"/>
  <c r="R764" i="25" a="1"/>
  <c r="R764" i="25" s="1"/>
  <c r="R763" i="25" a="1"/>
  <c r="R763" i="25" s="1"/>
  <c r="R762" i="25" a="1"/>
  <c r="R762" i="25" s="1"/>
  <c r="R761" i="25" a="1"/>
  <c r="R761" i="25" s="1"/>
  <c r="R760" i="25" a="1"/>
  <c r="R760" i="25" s="1"/>
  <c r="R759" i="25" a="1"/>
  <c r="R759" i="25" s="1"/>
  <c r="R758" i="25" a="1"/>
  <c r="R758" i="25" s="1"/>
  <c r="R757" i="25" a="1"/>
  <c r="R757" i="25" s="1"/>
  <c r="R756" i="25" a="1"/>
  <c r="R756" i="25" s="1"/>
  <c r="R755" i="25" a="1"/>
  <c r="R755" i="25" s="1"/>
  <c r="R754" i="25" a="1"/>
  <c r="R754" i="25" s="1"/>
  <c r="R753" i="25" a="1"/>
  <c r="R753" i="25" s="1"/>
  <c r="R752" i="25" a="1"/>
  <c r="R752" i="25" s="1"/>
  <c r="R751" i="25" a="1"/>
  <c r="R751" i="25" s="1"/>
  <c r="R750" i="25" a="1"/>
  <c r="R750" i="25" s="1"/>
  <c r="R749" i="25" a="1"/>
  <c r="R749" i="25" s="1"/>
  <c r="R748" i="25" a="1"/>
  <c r="R748" i="25" s="1"/>
  <c r="R747" i="25" a="1"/>
  <c r="R747" i="25" s="1"/>
  <c r="R746" i="25" a="1"/>
  <c r="R746" i="25" s="1"/>
  <c r="R745" i="25" a="1"/>
  <c r="R745" i="25" s="1"/>
  <c r="R744" i="25" a="1"/>
  <c r="R744" i="25" s="1"/>
  <c r="R743" i="25" a="1"/>
  <c r="R743" i="25" s="1"/>
  <c r="R742" i="25" a="1"/>
  <c r="R742" i="25" s="1"/>
  <c r="R741" i="25" a="1"/>
  <c r="R741" i="25" s="1"/>
  <c r="R740" i="25" a="1"/>
  <c r="R740" i="25" s="1"/>
  <c r="R739" i="25" a="1"/>
  <c r="R739" i="25" s="1"/>
  <c r="R738" i="25" a="1"/>
  <c r="R738" i="25" s="1"/>
  <c r="R737" i="25" a="1"/>
  <c r="R737" i="25" s="1"/>
  <c r="R736" i="25" a="1"/>
  <c r="R736" i="25" s="1"/>
  <c r="R735" i="25" a="1"/>
  <c r="R735" i="25" s="1"/>
  <c r="R734" i="25" a="1"/>
  <c r="R734" i="25" s="1"/>
  <c r="R733" i="25" a="1"/>
  <c r="R733" i="25" s="1"/>
  <c r="R732" i="25" a="1"/>
  <c r="R732" i="25" s="1"/>
  <c r="R731" i="25" a="1"/>
  <c r="R731" i="25" s="1"/>
  <c r="R730" i="25" a="1"/>
  <c r="R730" i="25" s="1"/>
  <c r="R729" i="25" a="1"/>
  <c r="R729" i="25" s="1"/>
  <c r="R728" i="25" a="1"/>
  <c r="R728" i="25" s="1"/>
  <c r="R727" i="25" a="1"/>
  <c r="R727" i="25" s="1"/>
  <c r="R726" i="25" a="1"/>
  <c r="R726" i="25" s="1"/>
  <c r="R725" i="25" a="1"/>
  <c r="R725" i="25" s="1"/>
  <c r="R724" i="25" a="1"/>
  <c r="R724" i="25" s="1"/>
  <c r="R723" i="25" a="1"/>
  <c r="R723" i="25" s="1"/>
  <c r="R722" i="25" a="1"/>
  <c r="R722" i="25" s="1"/>
  <c r="R721" i="25" a="1"/>
  <c r="R721" i="25" s="1"/>
  <c r="R720" i="25" a="1"/>
  <c r="R720" i="25" s="1"/>
  <c r="R719" i="25" a="1"/>
  <c r="R719" i="25" s="1"/>
  <c r="R718" i="25" a="1"/>
  <c r="R718" i="25" s="1"/>
  <c r="R717" i="25" a="1"/>
  <c r="R717" i="25" s="1"/>
  <c r="R716" i="25" a="1"/>
  <c r="R716" i="25" s="1"/>
  <c r="R715" i="25" a="1"/>
  <c r="R715" i="25" s="1"/>
  <c r="R714" i="25" a="1"/>
  <c r="R714" i="25" s="1"/>
  <c r="R713" i="25" a="1"/>
  <c r="R713" i="25" s="1"/>
  <c r="R712" i="25" a="1"/>
  <c r="R712" i="25" s="1"/>
  <c r="R711" i="25" a="1"/>
  <c r="R711" i="25" s="1"/>
  <c r="R710" i="25" a="1"/>
  <c r="R710" i="25" s="1"/>
  <c r="R709" i="25" a="1"/>
  <c r="R709" i="25" s="1"/>
  <c r="R708" i="25" a="1"/>
  <c r="R708" i="25" s="1"/>
  <c r="R707" i="25" a="1"/>
  <c r="R707" i="25" s="1"/>
  <c r="R706" i="25" a="1"/>
  <c r="R706" i="25" s="1"/>
  <c r="R705" i="25" a="1"/>
  <c r="R705" i="25" s="1"/>
  <c r="R704" i="25" a="1"/>
  <c r="R704" i="25" s="1"/>
  <c r="R703" i="25" a="1"/>
  <c r="R703" i="25" s="1"/>
  <c r="R702" i="25" a="1"/>
  <c r="R702" i="25" s="1"/>
  <c r="R701" i="25" a="1"/>
  <c r="R701" i="25" s="1"/>
  <c r="R700" i="25" a="1"/>
  <c r="R700" i="25" s="1"/>
  <c r="R699" i="25" a="1"/>
  <c r="R699" i="25" s="1"/>
  <c r="R698" i="25" a="1"/>
  <c r="R698" i="25" s="1"/>
  <c r="R697" i="25" a="1"/>
  <c r="R697" i="25" s="1"/>
  <c r="R696" i="25" a="1"/>
  <c r="R696" i="25" s="1"/>
  <c r="R695" i="25" a="1"/>
  <c r="R695" i="25" s="1"/>
  <c r="R694" i="25" a="1"/>
  <c r="R694" i="25" s="1"/>
  <c r="R693" i="25" a="1"/>
  <c r="R693" i="25" s="1"/>
  <c r="R692" i="25" a="1"/>
  <c r="R692" i="25" s="1"/>
  <c r="R691" i="25" a="1"/>
  <c r="R691" i="25" s="1"/>
  <c r="R690" i="25" a="1"/>
  <c r="R690" i="25" s="1"/>
  <c r="R689" i="25" a="1"/>
  <c r="R689" i="25" s="1"/>
  <c r="R688" i="25" a="1"/>
  <c r="R688" i="25" s="1"/>
  <c r="R687" i="25" a="1"/>
  <c r="R687" i="25" s="1"/>
  <c r="R686" i="25" a="1"/>
  <c r="R686" i="25" s="1"/>
  <c r="R685" i="25" a="1"/>
  <c r="R685" i="25" s="1"/>
  <c r="R684" i="25" a="1"/>
  <c r="R684" i="25" s="1"/>
  <c r="R683" i="25" a="1"/>
  <c r="R683" i="25" s="1"/>
  <c r="R682" i="25" a="1"/>
  <c r="R682" i="25" s="1"/>
  <c r="R681" i="25" a="1"/>
  <c r="R681" i="25" s="1"/>
  <c r="R680" i="25" a="1"/>
  <c r="R680" i="25" s="1"/>
  <c r="R679" i="25" a="1"/>
  <c r="R679" i="25" s="1"/>
  <c r="R678" i="25" a="1"/>
  <c r="R678" i="25" s="1"/>
  <c r="R677" i="25" a="1"/>
  <c r="R677" i="25" s="1"/>
  <c r="R676" i="25" a="1"/>
  <c r="R676" i="25" s="1"/>
  <c r="R675" i="25" a="1"/>
  <c r="R675" i="25" s="1"/>
  <c r="R674" i="25" a="1"/>
  <c r="R674" i="25" s="1"/>
  <c r="R673" i="25" a="1"/>
  <c r="R673" i="25" s="1"/>
  <c r="R672" i="25" a="1"/>
  <c r="R672" i="25" s="1"/>
  <c r="R671" i="25" a="1"/>
  <c r="R671" i="25" s="1"/>
  <c r="R670" i="25" a="1"/>
  <c r="R670" i="25" s="1"/>
  <c r="R669" i="25" a="1"/>
  <c r="R669" i="25" s="1"/>
  <c r="R668" i="25" a="1"/>
  <c r="R668" i="25" s="1"/>
  <c r="R667" i="25" a="1"/>
  <c r="R667" i="25" s="1"/>
  <c r="R666" i="25" a="1"/>
  <c r="R666" i="25" s="1"/>
  <c r="R665" i="25" a="1"/>
  <c r="R665" i="25" s="1"/>
  <c r="R664" i="25" a="1"/>
  <c r="R664" i="25" s="1"/>
  <c r="R663" i="25" a="1"/>
  <c r="R663" i="25" s="1"/>
  <c r="R662" i="25" a="1"/>
  <c r="R662" i="25" s="1"/>
  <c r="R661" i="25" a="1"/>
  <c r="R661" i="25" s="1"/>
  <c r="R660" i="25" a="1"/>
  <c r="R660" i="25" s="1"/>
  <c r="R659" i="25" a="1"/>
  <c r="R659" i="25" s="1"/>
  <c r="R658" i="25" a="1"/>
  <c r="R658" i="25" s="1"/>
  <c r="R657" i="25" a="1"/>
  <c r="R657" i="25" s="1"/>
  <c r="R656" i="25" a="1"/>
  <c r="R656" i="25" s="1"/>
  <c r="R655" i="25" a="1"/>
  <c r="R655" i="25" s="1"/>
  <c r="R654" i="25" a="1"/>
  <c r="R654" i="25" s="1"/>
  <c r="R653" i="25" a="1"/>
  <c r="R653" i="25" s="1"/>
  <c r="R652" i="25" a="1"/>
  <c r="R652" i="25" s="1"/>
  <c r="R651" i="25" a="1"/>
  <c r="R651" i="25" s="1"/>
  <c r="R650" i="25" a="1"/>
  <c r="R650" i="25" s="1"/>
  <c r="R649" i="25" a="1"/>
  <c r="R649" i="25" s="1"/>
  <c r="R648" i="25" a="1"/>
  <c r="R648" i="25" s="1"/>
  <c r="R647" i="25" a="1"/>
  <c r="R647" i="25" s="1"/>
  <c r="R646" i="25" a="1"/>
  <c r="R646" i="25" s="1"/>
  <c r="R645" i="25" a="1"/>
  <c r="R645" i="25" s="1"/>
  <c r="R644" i="25" a="1"/>
  <c r="R644" i="25" s="1"/>
  <c r="R643" i="25" a="1"/>
  <c r="R643" i="25" s="1"/>
  <c r="R642" i="25" a="1"/>
  <c r="R642" i="25" s="1"/>
  <c r="R641" i="25" a="1"/>
  <c r="R641" i="25" s="1"/>
  <c r="R640" i="25" a="1"/>
  <c r="R640" i="25" s="1"/>
  <c r="R639" i="25" a="1"/>
  <c r="R639" i="25" s="1"/>
  <c r="R638" i="25" a="1"/>
  <c r="R638" i="25" s="1"/>
  <c r="R637" i="25" a="1"/>
  <c r="R637" i="25" s="1"/>
  <c r="R636" i="25" a="1"/>
  <c r="R636" i="25" s="1"/>
  <c r="R635" i="25" a="1"/>
  <c r="R635" i="25" s="1"/>
  <c r="R634" i="25" a="1"/>
  <c r="R634" i="25" s="1"/>
  <c r="R633" i="25" a="1"/>
  <c r="R633" i="25" s="1"/>
  <c r="R632" i="25" a="1"/>
  <c r="R632" i="25" s="1"/>
  <c r="R631" i="25" a="1"/>
  <c r="R631" i="25" s="1"/>
  <c r="R630" i="25" a="1"/>
  <c r="R630" i="25" s="1"/>
  <c r="R629" i="25" a="1"/>
  <c r="R629" i="25" s="1"/>
  <c r="R628" i="25" a="1"/>
  <c r="R628" i="25" s="1"/>
  <c r="R627" i="25" a="1"/>
  <c r="R627" i="25" s="1"/>
  <c r="R626" i="25" a="1"/>
  <c r="R626" i="25" s="1"/>
  <c r="R625" i="25" a="1"/>
  <c r="R625" i="25" s="1"/>
  <c r="R624" i="25" a="1"/>
  <c r="R624" i="25" s="1"/>
  <c r="R623" i="25" a="1"/>
  <c r="R623" i="25" s="1"/>
  <c r="R622" i="25" a="1"/>
  <c r="R622" i="25" s="1"/>
  <c r="R621" i="25" a="1"/>
  <c r="R621" i="25" s="1"/>
  <c r="R620" i="25" a="1"/>
  <c r="R620" i="25" s="1"/>
  <c r="R619" i="25" a="1"/>
  <c r="R619" i="25" s="1"/>
  <c r="R618" i="25" a="1"/>
  <c r="R618" i="25" s="1"/>
  <c r="R617" i="25" a="1"/>
  <c r="R617" i="25" s="1"/>
  <c r="R616" i="25" a="1"/>
  <c r="R616" i="25" s="1"/>
  <c r="R615" i="25" a="1"/>
  <c r="R615" i="25" s="1"/>
  <c r="R614" i="25" a="1"/>
  <c r="R614" i="25" s="1"/>
  <c r="R613" i="25" a="1"/>
  <c r="R613" i="25" s="1"/>
  <c r="R612" i="25" a="1"/>
  <c r="R612" i="25" s="1"/>
  <c r="R611" i="25" a="1"/>
  <c r="R611" i="25" s="1"/>
  <c r="R610" i="25" a="1"/>
  <c r="R610" i="25" s="1"/>
  <c r="R609" i="25" a="1"/>
  <c r="R609" i="25" s="1"/>
  <c r="R608" i="25" a="1"/>
  <c r="R608" i="25" s="1"/>
  <c r="R607" i="25" a="1"/>
  <c r="R607" i="25" s="1"/>
  <c r="R606" i="25" a="1"/>
  <c r="R606" i="25" s="1"/>
  <c r="R605" i="25" a="1"/>
  <c r="R605" i="25" s="1"/>
  <c r="R604" i="25" a="1"/>
  <c r="R604" i="25" s="1"/>
  <c r="R603" i="25" a="1"/>
  <c r="R603" i="25" s="1"/>
  <c r="R602" i="25" a="1"/>
  <c r="R602" i="25" s="1"/>
  <c r="R601" i="25" a="1"/>
  <c r="R601" i="25" s="1"/>
  <c r="R600" i="25" a="1"/>
  <c r="R600" i="25" s="1"/>
  <c r="R599" i="25" a="1"/>
  <c r="R599" i="25" s="1"/>
  <c r="R598" i="25" a="1"/>
  <c r="R598" i="25" s="1"/>
  <c r="R597" i="25" a="1"/>
  <c r="R597" i="25" s="1"/>
  <c r="R596" i="25" a="1"/>
  <c r="R596" i="25" s="1"/>
  <c r="R595" i="25" a="1"/>
  <c r="R595" i="25" s="1"/>
  <c r="R594" i="25" a="1"/>
  <c r="R594" i="25" s="1"/>
  <c r="R593" i="25" a="1"/>
  <c r="R593" i="25" s="1"/>
  <c r="R592" i="25" a="1"/>
  <c r="R592" i="25" s="1"/>
  <c r="R591" i="25" a="1"/>
  <c r="R591" i="25" s="1"/>
  <c r="R590" i="25" a="1"/>
  <c r="R590" i="25" s="1"/>
  <c r="R589" i="25" a="1"/>
  <c r="R589" i="25" s="1"/>
  <c r="R588" i="25" a="1"/>
  <c r="R588" i="25" s="1"/>
  <c r="R587" i="25" a="1"/>
  <c r="R587" i="25" s="1"/>
  <c r="R586" i="25" a="1"/>
  <c r="R586" i="25" s="1"/>
  <c r="R585" i="25" a="1"/>
  <c r="R585" i="25" s="1"/>
  <c r="R584" i="25" a="1"/>
  <c r="R584" i="25" s="1"/>
  <c r="R583" i="25" a="1"/>
  <c r="R583" i="25" s="1"/>
  <c r="R582" i="25" a="1"/>
  <c r="R582" i="25" s="1"/>
  <c r="R581" i="25" a="1"/>
  <c r="R581" i="25" s="1"/>
  <c r="R580" i="25" a="1"/>
  <c r="R580" i="25" s="1"/>
  <c r="R579" i="25" a="1"/>
  <c r="R579" i="25" s="1"/>
  <c r="R578" i="25" a="1"/>
  <c r="R578" i="25" s="1"/>
  <c r="R577" i="25" a="1"/>
  <c r="R577" i="25" s="1"/>
  <c r="R576" i="25" a="1"/>
  <c r="R576" i="25" s="1"/>
  <c r="R575" i="25" a="1"/>
  <c r="R575" i="25" s="1"/>
  <c r="R574" i="25" a="1"/>
  <c r="R574" i="25" s="1"/>
  <c r="R573" i="25" a="1"/>
  <c r="R573" i="25" s="1"/>
  <c r="R572" i="25" a="1"/>
  <c r="R572" i="25" s="1"/>
  <c r="R571" i="25" a="1"/>
  <c r="R571" i="25" s="1"/>
  <c r="R570" i="25" a="1"/>
  <c r="R570" i="25" s="1"/>
  <c r="R569" i="25" a="1"/>
  <c r="R569" i="25" s="1"/>
  <c r="R568" i="25" a="1"/>
  <c r="R568" i="25" s="1"/>
  <c r="R567" i="25" a="1"/>
  <c r="R567" i="25" s="1"/>
  <c r="R566" i="25" a="1"/>
  <c r="R566" i="25" s="1"/>
  <c r="R565" i="25" a="1"/>
  <c r="R565" i="25" s="1"/>
  <c r="R564" i="25" a="1"/>
  <c r="R564" i="25" s="1"/>
  <c r="R563" i="25" a="1"/>
  <c r="R563" i="25" s="1"/>
  <c r="R562" i="25" a="1"/>
  <c r="R562" i="25" s="1"/>
  <c r="R561" i="25" a="1"/>
  <c r="R561" i="25" s="1"/>
  <c r="R560" i="25" a="1"/>
  <c r="R560" i="25" s="1"/>
  <c r="R559" i="25" a="1"/>
  <c r="R559" i="25" s="1"/>
  <c r="R558" i="25" a="1"/>
  <c r="R558" i="25" s="1"/>
  <c r="R557" i="25" a="1"/>
  <c r="R557" i="25" s="1"/>
  <c r="R556" i="25" a="1"/>
  <c r="R556" i="25" s="1"/>
  <c r="R555" i="25" a="1"/>
  <c r="R555" i="25" s="1"/>
  <c r="R554" i="25" a="1"/>
  <c r="R554" i="25" s="1"/>
  <c r="R553" i="25" a="1"/>
  <c r="R553" i="25" s="1"/>
  <c r="R552" i="25" a="1"/>
  <c r="R552" i="25" s="1"/>
  <c r="R551" i="25" a="1"/>
  <c r="R551" i="25" s="1"/>
  <c r="R550" i="25" a="1"/>
  <c r="R550" i="25" s="1"/>
  <c r="R549" i="25" a="1"/>
  <c r="R549" i="25" s="1"/>
  <c r="R548" i="25" a="1"/>
  <c r="R548" i="25" s="1"/>
  <c r="R547" i="25" a="1"/>
  <c r="R547" i="25" s="1"/>
  <c r="R546" i="25" a="1"/>
  <c r="R546" i="25" s="1"/>
  <c r="R545" i="25" a="1"/>
  <c r="R545" i="25" s="1"/>
  <c r="R544" i="25" a="1"/>
  <c r="R544" i="25" s="1"/>
  <c r="R543" i="25" a="1"/>
  <c r="R543" i="25" s="1"/>
  <c r="R542" i="25" a="1"/>
  <c r="R542" i="25" s="1"/>
  <c r="R541" i="25" a="1"/>
  <c r="R541" i="25" s="1"/>
  <c r="R540" i="25" a="1"/>
  <c r="R540" i="25" s="1"/>
  <c r="R539" i="25" a="1"/>
  <c r="R539" i="25" s="1"/>
  <c r="R538" i="25" a="1"/>
  <c r="R538" i="25" s="1"/>
  <c r="R537" i="25" a="1"/>
  <c r="R537" i="25" s="1"/>
  <c r="R536" i="25" a="1"/>
  <c r="R536" i="25" s="1"/>
  <c r="R535" i="25" a="1"/>
  <c r="R535" i="25" s="1"/>
  <c r="R534" i="25" a="1"/>
  <c r="R534" i="25" s="1"/>
  <c r="R533" i="25" a="1"/>
  <c r="R533" i="25" s="1"/>
  <c r="R532" i="25" a="1"/>
  <c r="R532" i="25" s="1"/>
  <c r="R531" i="25" a="1"/>
  <c r="R531" i="25" s="1"/>
  <c r="R530" i="25" a="1"/>
  <c r="R530" i="25" s="1"/>
  <c r="R529" i="25" a="1"/>
  <c r="R529" i="25" s="1"/>
  <c r="R528" i="25" a="1"/>
  <c r="R528" i="25" s="1"/>
  <c r="R527" i="25" a="1"/>
  <c r="R527" i="25" s="1"/>
  <c r="R526" i="25" a="1"/>
  <c r="R526" i="25" s="1"/>
  <c r="R525" i="25" a="1"/>
  <c r="R525" i="25" s="1"/>
  <c r="R524" i="25" a="1"/>
  <c r="R524" i="25" s="1"/>
  <c r="R523" i="25" a="1"/>
  <c r="R523" i="25" s="1"/>
  <c r="R522" i="25" a="1"/>
  <c r="R522" i="25" s="1"/>
  <c r="R521" i="25" a="1"/>
  <c r="R521" i="25" s="1"/>
  <c r="R520" i="25" a="1"/>
  <c r="R520" i="25" s="1"/>
  <c r="R519" i="25" a="1"/>
  <c r="R519" i="25" s="1"/>
  <c r="R518" i="25" a="1"/>
  <c r="R518" i="25" s="1"/>
  <c r="R517" i="25" a="1"/>
  <c r="R517" i="25" s="1"/>
  <c r="R516" i="25" a="1"/>
  <c r="R516" i="25" s="1"/>
  <c r="R515" i="25" a="1"/>
  <c r="R515" i="25" s="1"/>
  <c r="R514" i="25" a="1"/>
  <c r="R514" i="25" s="1"/>
  <c r="R513" i="25" a="1"/>
  <c r="R513" i="25" s="1"/>
  <c r="R512" i="25" a="1"/>
  <c r="R512" i="25" s="1"/>
  <c r="R511" i="25" a="1"/>
  <c r="R511" i="25" s="1"/>
  <c r="R510" i="25" a="1"/>
  <c r="R510" i="25" s="1"/>
  <c r="R509" i="25" a="1"/>
  <c r="R509" i="25" s="1"/>
  <c r="R508" i="25" a="1"/>
  <c r="R508" i="25" s="1"/>
  <c r="R507" i="25" a="1"/>
  <c r="R507" i="25" s="1"/>
  <c r="R506" i="25" a="1"/>
  <c r="R506" i="25" s="1"/>
  <c r="R505" i="25" a="1"/>
  <c r="R505" i="25" s="1"/>
  <c r="R504" i="25" a="1"/>
  <c r="R504" i="25" s="1"/>
  <c r="R503" i="25" a="1"/>
  <c r="R503" i="25" s="1"/>
  <c r="R502" i="25" a="1"/>
  <c r="R502" i="25" s="1"/>
  <c r="R501" i="25" a="1"/>
  <c r="R501" i="25" s="1"/>
  <c r="R500" i="25" a="1"/>
  <c r="R500" i="25" s="1"/>
  <c r="R499" i="25" a="1"/>
  <c r="R499" i="25" s="1"/>
  <c r="R498" i="25" a="1"/>
  <c r="R498" i="25" s="1"/>
  <c r="R497" i="25" a="1"/>
  <c r="R497" i="25" s="1"/>
  <c r="R496" i="25" a="1"/>
  <c r="R496" i="25" s="1"/>
  <c r="R495" i="25" a="1"/>
  <c r="R495" i="25" s="1"/>
  <c r="R494" i="25" a="1"/>
  <c r="R494" i="25" s="1"/>
  <c r="R493" i="25" a="1"/>
  <c r="R493" i="25" s="1"/>
  <c r="R492" i="25" a="1"/>
  <c r="R492" i="25" s="1"/>
  <c r="R491" i="25" a="1"/>
  <c r="R491" i="25" s="1"/>
  <c r="R490" i="25" a="1"/>
  <c r="R490" i="25" s="1"/>
  <c r="R489" i="25" a="1"/>
  <c r="R489" i="25" s="1"/>
  <c r="R488" i="25" a="1"/>
  <c r="R488" i="25" s="1"/>
  <c r="R487" i="25" a="1"/>
  <c r="R487" i="25" s="1"/>
  <c r="R486" i="25" a="1"/>
  <c r="R486" i="25" s="1"/>
  <c r="R485" i="25" a="1"/>
  <c r="R485" i="25" s="1"/>
  <c r="R484" i="25" a="1"/>
  <c r="R484" i="25" s="1"/>
  <c r="R483" i="25" a="1"/>
  <c r="R483" i="25" s="1"/>
  <c r="R482" i="25" a="1"/>
  <c r="R482" i="25" s="1"/>
  <c r="R481" i="25" a="1"/>
  <c r="R481" i="25" s="1"/>
  <c r="R480" i="25" a="1"/>
  <c r="R480" i="25" s="1"/>
  <c r="R479" i="25" a="1"/>
  <c r="R479" i="25" s="1"/>
  <c r="R478" i="25" a="1"/>
  <c r="R478" i="25" s="1"/>
  <c r="R477" i="25" a="1"/>
  <c r="R477" i="25" s="1"/>
  <c r="R476" i="25" a="1"/>
  <c r="R476" i="25" s="1"/>
  <c r="R475" i="25" a="1"/>
  <c r="R475" i="25" s="1"/>
  <c r="R474" i="25" a="1"/>
  <c r="R474" i="25" s="1"/>
  <c r="R473" i="25" a="1"/>
  <c r="R473" i="25" s="1"/>
  <c r="R472" i="25" a="1"/>
  <c r="R472" i="25" s="1"/>
  <c r="R471" i="25" a="1"/>
  <c r="R471" i="25" s="1"/>
  <c r="R470" i="25" a="1"/>
  <c r="R470" i="25" s="1"/>
  <c r="R469" i="25" a="1"/>
  <c r="R469" i="25" s="1"/>
  <c r="R468" i="25" a="1"/>
  <c r="R468" i="25" s="1"/>
  <c r="R467" i="25" a="1"/>
  <c r="R467" i="25" s="1"/>
  <c r="R466" i="25" a="1"/>
  <c r="R466" i="25" s="1"/>
  <c r="R465" i="25" a="1"/>
  <c r="R465" i="25" s="1"/>
  <c r="R464" i="25" a="1"/>
  <c r="R464" i="25" s="1"/>
  <c r="R463" i="25" a="1"/>
  <c r="R463" i="25" s="1"/>
  <c r="R462" i="25" a="1"/>
  <c r="R462" i="25" s="1"/>
  <c r="R461" i="25" a="1"/>
  <c r="R461" i="25" s="1"/>
  <c r="R460" i="25" a="1"/>
  <c r="R460" i="25" s="1"/>
  <c r="R459" i="25" a="1"/>
  <c r="R459" i="25" s="1"/>
  <c r="R458" i="25" a="1"/>
  <c r="R458" i="25" s="1"/>
  <c r="R457" i="25" a="1"/>
  <c r="R457" i="25" s="1"/>
  <c r="R456" i="25" a="1"/>
  <c r="R456" i="25" s="1"/>
  <c r="R455" i="25" a="1"/>
  <c r="R455" i="25" s="1"/>
  <c r="R454" i="25" a="1"/>
  <c r="R454" i="25" s="1"/>
  <c r="R453" i="25" a="1"/>
  <c r="R453" i="25" s="1"/>
  <c r="R452" i="25" a="1"/>
  <c r="R452" i="25" s="1"/>
  <c r="R451" i="25" a="1"/>
  <c r="R451" i="25" s="1"/>
  <c r="R450" i="25" a="1"/>
  <c r="R450" i="25" s="1"/>
  <c r="R449" i="25" a="1"/>
  <c r="R449" i="25" s="1"/>
  <c r="R448" i="25" a="1"/>
  <c r="R448" i="25" s="1"/>
  <c r="R447" i="25" a="1"/>
  <c r="R447" i="25" s="1"/>
  <c r="R446" i="25" a="1"/>
  <c r="R446" i="25" s="1"/>
  <c r="R445" i="25" a="1"/>
  <c r="R445" i="25" s="1"/>
  <c r="R444" i="25" a="1"/>
  <c r="R444" i="25" s="1"/>
  <c r="R443" i="25" a="1"/>
  <c r="R443" i="25" s="1"/>
  <c r="R442" i="25" a="1"/>
  <c r="R442" i="25" s="1"/>
  <c r="R441" i="25" a="1"/>
  <c r="R441" i="25" s="1"/>
  <c r="R440" i="25" a="1"/>
  <c r="R440" i="25" s="1"/>
  <c r="R439" i="25" a="1"/>
  <c r="R439" i="25" s="1"/>
  <c r="R438" i="25" a="1"/>
  <c r="R438" i="25" s="1"/>
  <c r="R437" i="25" a="1"/>
  <c r="R437" i="25" s="1"/>
  <c r="R436" i="25" a="1"/>
  <c r="R436" i="25" s="1"/>
  <c r="R435" i="25" a="1"/>
  <c r="R435" i="25" s="1"/>
  <c r="R434" i="25" a="1"/>
  <c r="R434" i="25" s="1"/>
  <c r="R433" i="25" a="1"/>
  <c r="R433" i="25" s="1"/>
  <c r="R432" i="25" a="1"/>
  <c r="R432" i="25" s="1"/>
  <c r="R431" i="25" a="1"/>
  <c r="R431" i="25" s="1"/>
  <c r="R430" i="25" a="1"/>
  <c r="R430" i="25" s="1"/>
  <c r="R429" i="25" a="1"/>
  <c r="R429" i="25" s="1"/>
  <c r="R428" i="25" a="1"/>
  <c r="R428" i="25" s="1"/>
  <c r="R427" i="25" a="1"/>
  <c r="R427" i="25" s="1"/>
  <c r="R426" i="25" a="1"/>
  <c r="R426" i="25" s="1"/>
  <c r="R425" i="25" a="1"/>
  <c r="R425" i="25" s="1"/>
  <c r="R424" i="25" a="1"/>
  <c r="R424" i="25" s="1"/>
  <c r="R423" i="25" a="1"/>
  <c r="R423" i="25" s="1"/>
  <c r="R422" i="25" a="1"/>
  <c r="R422" i="25" s="1"/>
  <c r="R421" i="25" a="1"/>
  <c r="R421" i="25" s="1"/>
  <c r="R420" i="25" a="1"/>
  <c r="R420" i="25" s="1"/>
  <c r="R419" i="25" a="1"/>
  <c r="R419" i="25" s="1"/>
  <c r="R418" i="25" a="1"/>
  <c r="R418" i="25" s="1"/>
  <c r="R417" i="25" a="1"/>
  <c r="R417" i="25" s="1"/>
  <c r="R416" i="25" a="1"/>
  <c r="R416" i="25" s="1"/>
  <c r="R415" i="25" a="1"/>
  <c r="R415" i="25" s="1"/>
  <c r="R414" i="25" a="1"/>
  <c r="R414" i="25" s="1"/>
  <c r="R413" i="25" a="1"/>
  <c r="R413" i="25" s="1"/>
  <c r="R412" i="25" a="1"/>
  <c r="R412" i="25" s="1"/>
  <c r="R411" i="25" a="1"/>
  <c r="R411" i="25" s="1"/>
  <c r="R410" i="25" a="1"/>
  <c r="R410" i="25" s="1"/>
  <c r="R409" i="25" a="1"/>
  <c r="R409" i="25" s="1"/>
  <c r="R408" i="25" a="1"/>
  <c r="R408" i="25" s="1"/>
  <c r="R407" i="25" a="1"/>
  <c r="R407" i="25" s="1"/>
  <c r="R406" i="25" a="1"/>
  <c r="R406" i="25" s="1"/>
  <c r="R405" i="25" a="1"/>
  <c r="R405" i="25" s="1"/>
  <c r="R404" i="25" a="1"/>
  <c r="R404" i="25" s="1"/>
  <c r="R403" i="25" a="1"/>
  <c r="R403" i="25" s="1"/>
  <c r="R402" i="25" a="1"/>
  <c r="R402" i="25" s="1"/>
  <c r="R401" i="25" a="1"/>
  <c r="R401" i="25" s="1"/>
  <c r="R400" i="25" a="1"/>
  <c r="R400" i="25" s="1"/>
  <c r="R399" i="25" a="1"/>
  <c r="R399" i="25" s="1"/>
  <c r="R398" i="25" a="1"/>
  <c r="R398" i="25" s="1"/>
  <c r="R397" i="25" a="1"/>
  <c r="R397" i="25" s="1"/>
  <c r="R396" i="25" a="1"/>
  <c r="R396" i="25" s="1"/>
  <c r="R395" i="25" a="1"/>
  <c r="R395" i="25" s="1"/>
  <c r="R394" i="25" a="1"/>
  <c r="R394" i="25" s="1"/>
  <c r="R393" i="25" a="1"/>
  <c r="R393" i="25" s="1"/>
  <c r="R392" i="25" a="1"/>
  <c r="R392" i="25" s="1"/>
  <c r="R391" i="25" a="1"/>
  <c r="R391" i="25" s="1"/>
  <c r="R390" i="25" a="1"/>
  <c r="R390" i="25" s="1"/>
  <c r="R389" i="25" a="1"/>
  <c r="R389" i="25" s="1"/>
  <c r="R388" i="25" a="1"/>
  <c r="R388" i="25" s="1"/>
  <c r="R387" i="25" a="1"/>
  <c r="R387" i="25" s="1"/>
  <c r="R386" i="25" a="1"/>
  <c r="R386" i="25" s="1"/>
  <c r="R385" i="25" a="1"/>
  <c r="R385" i="25" s="1"/>
  <c r="R384" i="25" a="1"/>
  <c r="R384" i="25" s="1"/>
  <c r="R383" i="25" a="1"/>
  <c r="R383" i="25" s="1"/>
  <c r="R382" i="25" a="1"/>
  <c r="R382" i="25" s="1"/>
  <c r="R381" i="25" a="1"/>
  <c r="R381" i="25" s="1"/>
  <c r="R380" i="25" a="1"/>
  <c r="R380" i="25" s="1"/>
  <c r="R379" i="25" a="1"/>
  <c r="R379" i="25" s="1"/>
  <c r="R378" i="25" a="1"/>
  <c r="R378" i="25" s="1"/>
  <c r="R377" i="25" a="1"/>
  <c r="R377" i="25" s="1"/>
  <c r="R376" i="25" a="1"/>
  <c r="R376" i="25" s="1"/>
  <c r="R375" i="25" a="1"/>
  <c r="R375" i="25" s="1"/>
  <c r="R374" i="25" a="1"/>
  <c r="R374" i="25" s="1"/>
  <c r="R373" i="25" a="1"/>
  <c r="R373" i="25" s="1"/>
  <c r="R372" i="25" a="1"/>
  <c r="R372" i="25" s="1"/>
  <c r="R371" i="25" a="1"/>
  <c r="R371" i="25" s="1"/>
  <c r="R370" i="25" a="1"/>
  <c r="R370" i="25" s="1"/>
  <c r="R369" i="25" a="1"/>
  <c r="R369" i="25" s="1"/>
  <c r="R368" i="25" a="1"/>
  <c r="R368" i="25" s="1"/>
  <c r="R367" i="25" a="1"/>
  <c r="R367" i="25" s="1"/>
  <c r="R366" i="25" a="1"/>
  <c r="R366" i="25" s="1"/>
  <c r="R365" i="25" a="1"/>
  <c r="R365" i="25" s="1"/>
  <c r="R364" i="25" a="1"/>
  <c r="R364" i="25" s="1"/>
  <c r="R363" i="25" a="1"/>
  <c r="R363" i="25" s="1"/>
  <c r="R362" i="25" a="1"/>
  <c r="R362" i="25" s="1"/>
  <c r="R361" i="25" a="1"/>
  <c r="R361" i="25" s="1"/>
  <c r="R360" i="25" a="1"/>
  <c r="R360" i="25" s="1"/>
  <c r="R359" i="25" a="1"/>
  <c r="R359" i="25" s="1"/>
  <c r="R358" i="25" a="1"/>
  <c r="R358" i="25" s="1"/>
  <c r="R357" i="25" a="1"/>
  <c r="R357" i="25" s="1"/>
  <c r="R356" i="25" a="1"/>
  <c r="R356" i="25" s="1"/>
  <c r="R355" i="25" a="1"/>
  <c r="R355" i="25" s="1"/>
  <c r="R354" i="25" a="1"/>
  <c r="R354" i="25" s="1"/>
  <c r="R353" i="25" a="1"/>
  <c r="R353" i="25" s="1"/>
  <c r="R352" i="25" a="1"/>
  <c r="R352" i="25" s="1"/>
  <c r="R351" i="25" a="1"/>
  <c r="R351" i="25" s="1"/>
  <c r="R350" i="25" a="1"/>
  <c r="R350" i="25" s="1"/>
  <c r="R349" i="25" a="1"/>
  <c r="R349" i="25" s="1"/>
  <c r="R348" i="25" a="1"/>
  <c r="R348" i="25" s="1"/>
  <c r="R347" i="25" a="1"/>
  <c r="R347" i="25" s="1"/>
  <c r="R346" i="25" a="1"/>
  <c r="R346" i="25" s="1"/>
  <c r="R345" i="25" a="1"/>
  <c r="R345" i="25" s="1"/>
  <c r="R344" i="25" a="1"/>
  <c r="R344" i="25" s="1"/>
  <c r="R343" i="25" a="1"/>
  <c r="R343" i="25" s="1"/>
  <c r="R342" i="25" a="1"/>
  <c r="R342" i="25" s="1"/>
  <c r="R341" i="25" a="1"/>
  <c r="R341" i="25" s="1"/>
  <c r="R340" i="25" a="1"/>
  <c r="R340" i="25" s="1"/>
  <c r="R339" i="25" a="1"/>
  <c r="R339" i="25" s="1"/>
  <c r="R338" i="25" a="1"/>
  <c r="R338" i="25" s="1"/>
  <c r="R337" i="25" a="1"/>
  <c r="R337" i="25" s="1"/>
  <c r="R336" i="25" a="1"/>
  <c r="R336" i="25" s="1"/>
  <c r="R335" i="25" a="1"/>
  <c r="R335" i="25" s="1"/>
  <c r="R334" i="25" a="1"/>
  <c r="R334" i="25" s="1"/>
  <c r="R333" i="25" a="1"/>
  <c r="R333" i="25" s="1"/>
  <c r="R332" i="25" a="1"/>
  <c r="R332" i="25" s="1"/>
  <c r="R331" i="25" a="1"/>
  <c r="R331" i="25" s="1"/>
  <c r="R330" i="25" a="1"/>
  <c r="R330" i="25" s="1"/>
  <c r="R329" i="25" a="1"/>
  <c r="R329" i="25" s="1"/>
  <c r="R328" i="25" a="1"/>
  <c r="R328" i="25" s="1"/>
  <c r="R327" i="25" a="1"/>
  <c r="R327" i="25" s="1"/>
  <c r="R326" i="25" a="1"/>
  <c r="R326" i="25" s="1"/>
  <c r="R325" i="25" a="1"/>
  <c r="R325" i="25" s="1"/>
  <c r="R324" i="25" a="1"/>
  <c r="R324" i="25" s="1"/>
  <c r="R323" i="25" a="1"/>
  <c r="R323" i="25" s="1"/>
  <c r="R322" i="25" a="1"/>
  <c r="R322" i="25" s="1"/>
  <c r="R321" i="25" a="1"/>
  <c r="R321" i="25" s="1"/>
  <c r="R320" i="25" a="1"/>
  <c r="R320" i="25" s="1"/>
  <c r="R319" i="25" a="1"/>
  <c r="R319" i="25" s="1"/>
  <c r="R318" i="25" a="1"/>
  <c r="R318" i="25" s="1"/>
  <c r="R317" i="25" a="1"/>
  <c r="R317" i="25" s="1"/>
  <c r="R316" i="25" a="1"/>
  <c r="R316" i="25" s="1"/>
  <c r="R315" i="25" a="1"/>
  <c r="R315" i="25" s="1"/>
  <c r="R314" i="25" a="1"/>
  <c r="R314" i="25" s="1"/>
  <c r="R313" i="25" a="1"/>
  <c r="R313" i="25" s="1"/>
  <c r="R312" i="25" a="1"/>
  <c r="R312" i="25" s="1"/>
  <c r="R311" i="25" a="1"/>
  <c r="R311" i="25" s="1"/>
  <c r="R310" i="25" a="1"/>
  <c r="R310" i="25" s="1"/>
  <c r="R309" i="25" a="1"/>
  <c r="R309" i="25" s="1"/>
  <c r="R308" i="25" a="1"/>
  <c r="R308" i="25" s="1"/>
  <c r="R307" i="25" a="1"/>
  <c r="R307" i="25" s="1"/>
  <c r="R306" i="25" a="1"/>
  <c r="R306" i="25" s="1"/>
  <c r="R305" i="25" a="1"/>
  <c r="R305" i="25" s="1"/>
  <c r="R304" i="25" a="1"/>
  <c r="R304" i="25" s="1"/>
  <c r="R303" i="25" a="1"/>
  <c r="R303" i="25" s="1"/>
  <c r="R302" i="25" a="1"/>
  <c r="R302" i="25" s="1"/>
  <c r="R301" i="25" a="1"/>
  <c r="R301" i="25" s="1"/>
  <c r="R300" i="25" a="1"/>
  <c r="R300" i="25" s="1"/>
  <c r="R299" i="25" a="1"/>
  <c r="R299" i="25" s="1"/>
  <c r="R298" i="25" a="1"/>
  <c r="R298" i="25" s="1"/>
  <c r="R297" i="25" a="1"/>
  <c r="R297" i="25" s="1"/>
  <c r="R296" i="25" a="1"/>
  <c r="R296" i="25" s="1"/>
  <c r="R295" i="25" a="1"/>
  <c r="R295" i="25" s="1"/>
  <c r="R294" i="25" a="1"/>
  <c r="R294" i="25" s="1"/>
  <c r="R293" i="25" a="1"/>
  <c r="R293" i="25" s="1"/>
  <c r="R292" i="25" a="1"/>
  <c r="R292" i="25" s="1"/>
  <c r="R291" i="25" a="1"/>
  <c r="R291" i="25" s="1"/>
  <c r="R290" i="25" a="1"/>
  <c r="R290" i="25" s="1"/>
  <c r="R289" i="25" a="1"/>
  <c r="R289" i="25" s="1"/>
  <c r="R288" i="25" a="1"/>
  <c r="R288" i="25" s="1"/>
  <c r="R287" i="25" a="1"/>
  <c r="R287" i="25" s="1"/>
  <c r="R286" i="25" a="1"/>
  <c r="R286" i="25" s="1"/>
  <c r="R285" i="25" a="1"/>
  <c r="R285" i="25" s="1"/>
  <c r="R284" i="25" a="1"/>
  <c r="R284" i="25" s="1"/>
  <c r="R283" i="25" a="1"/>
  <c r="R283" i="25" s="1"/>
  <c r="R282" i="25" a="1"/>
  <c r="R282" i="25" s="1"/>
  <c r="R281" i="25" a="1"/>
  <c r="R281" i="25" s="1"/>
  <c r="R280" i="25" a="1"/>
  <c r="R280" i="25" s="1"/>
  <c r="R279" i="25" a="1"/>
  <c r="R279" i="25" s="1"/>
  <c r="R278" i="25" a="1"/>
  <c r="R278" i="25" s="1"/>
  <c r="R277" i="25" a="1"/>
  <c r="R277" i="25" s="1"/>
  <c r="R276" i="25" a="1"/>
  <c r="R276" i="25" s="1"/>
  <c r="R275" i="25" a="1"/>
  <c r="R275" i="25" s="1"/>
  <c r="R274" i="25" a="1"/>
  <c r="R274" i="25" s="1"/>
  <c r="R273" i="25" a="1"/>
  <c r="R273" i="25" s="1"/>
  <c r="R272" i="25" a="1"/>
  <c r="R272" i="25" s="1"/>
  <c r="R271" i="25" a="1"/>
  <c r="R271" i="25" s="1"/>
  <c r="R270" i="25" a="1"/>
  <c r="R270" i="25" s="1"/>
  <c r="R269" i="25" a="1"/>
  <c r="R269" i="25" s="1"/>
  <c r="R268" i="25" a="1"/>
  <c r="R268" i="25" s="1"/>
  <c r="R267" i="25" a="1"/>
  <c r="R267" i="25" s="1"/>
  <c r="R266" i="25" a="1"/>
  <c r="R266" i="25" s="1"/>
  <c r="R265" i="25" a="1"/>
  <c r="R265" i="25" s="1"/>
  <c r="R264" i="25" a="1"/>
  <c r="R264" i="25" s="1"/>
  <c r="R263" i="25" a="1"/>
  <c r="R263" i="25" s="1"/>
  <c r="R262" i="25" a="1"/>
  <c r="R262" i="25" s="1"/>
  <c r="R261" i="25" a="1"/>
  <c r="R261" i="25" s="1"/>
  <c r="R260" i="25" a="1"/>
  <c r="R260" i="25" s="1"/>
  <c r="R259" i="25" a="1"/>
  <c r="R259" i="25" s="1"/>
  <c r="R258" i="25" a="1"/>
  <c r="R258" i="25" s="1"/>
  <c r="R257" i="25" a="1"/>
  <c r="R257" i="25" s="1"/>
  <c r="R256" i="25" a="1"/>
  <c r="R256" i="25" s="1"/>
  <c r="R255" i="25" a="1"/>
  <c r="R255" i="25" s="1"/>
  <c r="R254" i="25" a="1"/>
  <c r="R254" i="25" s="1"/>
  <c r="R253" i="25" a="1"/>
  <c r="R253" i="25" s="1"/>
  <c r="R252" i="25" a="1"/>
  <c r="R252" i="25" s="1"/>
  <c r="R251" i="25" a="1"/>
  <c r="R251" i="25" s="1"/>
  <c r="R250" i="25" a="1"/>
  <c r="R250" i="25" s="1"/>
  <c r="R249" i="25" a="1"/>
  <c r="R249" i="25" s="1"/>
  <c r="R248" i="25" a="1"/>
  <c r="R248" i="25" s="1"/>
  <c r="R247" i="25" a="1"/>
  <c r="R247" i="25" s="1"/>
  <c r="R246" i="25" a="1"/>
  <c r="R246" i="25" s="1"/>
  <c r="R245" i="25" a="1"/>
  <c r="R245" i="25" s="1"/>
  <c r="R244" i="25" a="1"/>
  <c r="R244" i="25" s="1"/>
  <c r="R243" i="25" a="1"/>
  <c r="R243" i="25" s="1"/>
  <c r="R242" i="25" a="1"/>
  <c r="R242" i="25" s="1"/>
  <c r="R241" i="25" a="1"/>
  <c r="R241" i="25" s="1"/>
  <c r="R240" i="25" a="1"/>
  <c r="R240" i="25" s="1"/>
  <c r="R239" i="25" a="1"/>
  <c r="R239" i="25" s="1"/>
  <c r="R238" i="25" a="1"/>
  <c r="R238" i="25" s="1"/>
  <c r="R237" i="25" a="1"/>
  <c r="R237" i="25" s="1"/>
  <c r="R236" i="25" a="1"/>
  <c r="R236" i="25" s="1"/>
  <c r="R235" i="25" a="1"/>
  <c r="R235" i="25" s="1"/>
  <c r="R234" i="25" a="1"/>
  <c r="R234" i="25" s="1"/>
  <c r="R233" i="25" a="1"/>
  <c r="R233" i="25" s="1"/>
  <c r="R232" i="25" a="1"/>
  <c r="R232" i="25" s="1"/>
  <c r="R231" i="25" a="1"/>
  <c r="R231" i="25" s="1"/>
  <c r="R230" i="25" a="1"/>
  <c r="R230" i="25" s="1"/>
  <c r="R229" i="25" a="1"/>
  <c r="R229" i="25" s="1"/>
  <c r="R228" i="25" a="1"/>
  <c r="R228" i="25" s="1"/>
  <c r="R227" i="25" a="1"/>
  <c r="R227" i="25" s="1"/>
  <c r="R226" i="25" a="1"/>
  <c r="R226" i="25" s="1"/>
  <c r="R225" i="25" a="1"/>
  <c r="R225" i="25" s="1"/>
  <c r="R224" i="25" a="1"/>
  <c r="R224" i="25" s="1"/>
  <c r="R223" i="25" a="1"/>
  <c r="R223" i="25" s="1"/>
  <c r="R222" i="25" a="1"/>
  <c r="R222" i="25" s="1"/>
  <c r="R221" i="25" a="1"/>
  <c r="R221" i="25" s="1"/>
  <c r="R220" i="25" a="1"/>
  <c r="R220" i="25" s="1"/>
  <c r="R219" i="25" a="1"/>
  <c r="R219" i="25" s="1"/>
  <c r="R218" i="25" a="1"/>
  <c r="R218" i="25" s="1"/>
  <c r="R217" i="25" a="1"/>
  <c r="R217" i="25" s="1"/>
  <c r="R216" i="25" a="1"/>
  <c r="R216" i="25" s="1"/>
  <c r="R215" i="25" a="1"/>
  <c r="R215" i="25" s="1"/>
  <c r="R214" i="25" a="1"/>
  <c r="R214" i="25" s="1"/>
  <c r="R213" i="25" a="1"/>
  <c r="R213" i="25" s="1"/>
  <c r="Q199" i="25"/>
  <c r="Q198" i="25"/>
  <c r="Q197" i="25"/>
  <c r="Q196" i="25"/>
  <c r="Q195" i="25"/>
  <c r="Q194" i="25"/>
  <c r="Q193" i="25"/>
  <c r="Q192" i="25"/>
  <c r="Q191" i="25"/>
  <c r="Q190" i="25"/>
  <c r="Q189" i="25"/>
  <c r="Q188" i="25"/>
  <c r="Q187" i="25"/>
  <c r="Q186" i="25"/>
  <c r="Q185" i="25"/>
  <c r="Q184" i="25"/>
  <c r="Q183" i="25"/>
  <c r="Q182" i="25"/>
  <c r="Q181" i="25"/>
  <c r="Q180" i="25"/>
  <c r="Q179" i="25"/>
  <c r="Q178" i="25"/>
  <c r="Q177" i="25"/>
  <c r="Q176" i="25"/>
  <c r="Q175" i="25"/>
  <c r="Q174" i="25"/>
  <c r="Q173" i="25"/>
  <c r="Q172" i="25"/>
  <c r="Q171" i="25"/>
  <c r="Q170" i="25"/>
  <c r="Q169" i="25"/>
  <c r="Q168" i="25"/>
  <c r="Q167" i="25"/>
  <c r="Q166" i="25"/>
  <c r="Q165" i="25"/>
  <c r="Q164" i="25"/>
  <c r="Q163" i="25"/>
  <c r="Q162" i="25"/>
  <c r="Q161" i="25"/>
  <c r="Q160" i="25"/>
  <c r="Q159" i="25"/>
  <c r="Q158" i="25"/>
  <c r="Q157" i="25"/>
  <c r="Q156" i="25"/>
  <c r="Q155" i="25"/>
  <c r="Q154" i="25"/>
  <c r="Q153" i="25"/>
  <c r="Q152" i="25"/>
  <c r="Q151" i="25"/>
  <c r="Q150" i="25"/>
  <c r="Q149" i="25"/>
  <c r="Q148" i="25"/>
  <c r="Q147" i="25"/>
  <c r="Q146" i="25"/>
  <c r="Q145" i="25"/>
  <c r="Q144" i="25"/>
  <c r="Q143" i="25"/>
  <c r="Q142" i="25"/>
  <c r="Q141" i="25"/>
  <c r="Q140" i="25"/>
  <c r="Q139" i="25"/>
  <c r="Q138" i="25"/>
  <c r="Q137" i="25"/>
  <c r="Q136" i="25"/>
  <c r="Q135" i="25"/>
  <c r="Q134" i="25"/>
  <c r="Q133" i="25"/>
  <c r="Q132" i="25"/>
  <c r="Q131" i="25"/>
  <c r="Q130" i="25"/>
  <c r="Q129" i="25"/>
  <c r="Q128" i="25"/>
  <c r="Q127" i="25"/>
  <c r="Q126" i="25"/>
  <c r="Q125" i="25"/>
  <c r="Q124" i="25"/>
  <c r="Q123" i="25"/>
  <c r="Q122" i="25"/>
  <c r="Q121" i="25"/>
  <c r="Q120" i="25"/>
  <c r="Q119" i="25"/>
  <c r="Q118" i="25"/>
  <c r="Q117" i="25"/>
  <c r="Q116" i="25"/>
  <c r="Q114" i="25"/>
  <c r="Q113" i="25"/>
  <c r="Q112" i="25"/>
  <c r="Q111" i="25"/>
  <c r="Q110" i="25"/>
  <c r="Q109" i="25"/>
  <c r="Q108" i="25"/>
  <c r="Q107" i="25"/>
  <c r="Q106" i="25"/>
  <c r="Q105" i="25"/>
  <c r="Q104" i="25"/>
  <c r="Q103" i="25"/>
  <c r="Q102" i="25"/>
  <c r="Q101" i="25"/>
  <c r="Q100" i="25"/>
  <c r="Q99" i="25"/>
  <c r="Q98" i="25"/>
  <c r="Q97" i="25"/>
  <c r="Q96" i="25"/>
  <c r="Q95" i="25"/>
  <c r="Q94" i="25"/>
  <c r="Q93" i="25"/>
  <c r="Q92" i="25"/>
  <c r="Q91" i="25"/>
  <c r="Q90" i="25"/>
  <c r="Q89" i="25"/>
  <c r="Q88" i="25"/>
  <c r="Q87" i="25"/>
  <c r="Q86" i="25"/>
  <c r="Q85" i="25"/>
  <c r="Q84" i="25"/>
  <c r="Q83" i="25"/>
  <c r="Q82" i="25"/>
  <c r="Q81" i="25"/>
  <c r="Q80" i="25"/>
  <c r="Q79" i="25"/>
  <c r="Q78" i="25"/>
  <c r="Q77" i="25"/>
  <c r="Q76" i="25"/>
  <c r="Q75" i="25"/>
  <c r="Q74" i="25"/>
  <c r="Q73" i="25"/>
  <c r="Q72" i="25"/>
  <c r="Q71" i="25"/>
  <c r="Q70" i="25"/>
  <c r="Q69" i="25"/>
  <c r="Q68" i="25"/>
  <c r="Q67" i="25"/>
  <c r="Q66" i="25"/>
  <c r="Q65" i="25"/>
  <c r="Q64" i="25"/>
  <c r="Q63" i="25"/>
  <c r="Q62" i="25"/>
  <c r="Q61" i="25"/>
  <c r="Q60" i="25"/>
  <c r="Q59" i="25"/>
  <c r="Q58" i="25"/>
  <c r="Q57" i="25"/>
  <c r="Q56" i="25"/>
  <c r="Q55" i="25"/>
  <c r="Q54" i="25"/>
  <c r="Q53" i="25"/>
  <c r="Q52" i="25"/>
  <c r="Q51" i="25"/>
  <c r="Q50" i="25"/>
  <c r="Q49" i="25"/>
  <c r="Q48" i="25"/>
  <c r="Q47" i="25"/>
  <c r="Q46" i="25"/>
  <c r="Q45" i="25"/>
  <c r="Q44" i="25"/>
  <c r="Q43" i="25"/>
  <c r="Q42" i="25"/>
  <c r="Q41" i="25"/>
  <c r="Q40" i="25"/>
  <c r="Q39" i="25"/>
  <c r="Q38" i="25"/>
  <c r="Q37" i="25"/>
  <c r="Q36" i="25"/>
  <c r="Q35" i="25"/>
  <c r="Q34" i="25"/>
  <c r="Q33" i="25"/>
  <c r="Q32" i="25"/>
  <c r="Q31" i="25"/>
  <c r="Q30" i="25"/>
  <c r="Q29" i="25"/>
  <c r="Q28" i="25"/>
  <c r="Q27" i="25"/>
  <c r="Q26" i="25"/>
  <c r="Q25" i="25"/>
  <c r="Q24" i="25"/>
  <c r="Q23" i="25"/>
  <c r="Q22" i="25"/>
  <c r="Q21" i="25"/>
  <c r="S177" i="24" l="1"/>
  <c r="S176" i="24"/>
  <c r="S175" i="24"/>
  <c r="S174" i="24"/>
  <c r="S173" i="24"/>
  <c r="S172" i="24"/>
  <c r="S171" i="24"/>
  <c r="S170" i="24"/>
  <c r="S169" i="24"/>
  <c r="S168" i="24"/>
  <c r="S167" i="24"/>
  <c r="S166" i="24"/>
  <c r="S165" i="24"/>
  <c r="S164" i="24"/>
  <c r="S163" i="24"/>
  <c r="S162" i="24"/>
  <c r="S161" i="24"/>
  <c r="S160" i="24"/>
  <c r="S159" i="24"/>
  <c r="S158" i="24"/>
  <c r="S157" i="24"/>
  <c r="S156" i="24"/>
  <c r="S155" i="24"/>
  <c r="S154" i="24"/>
  <c r="S153" i="24"/>
  <c r="S152" i="24"/>
  <c r="S151" i="24"/>
  <c r="S150" i="24"/>
  <c r="S149" i="24"/>
  <c r="S148" i="24"/>
  <c r="S147" i="24"/>
  <c r="S146" i="24"/>
  <c r="S145" i="24"/>
  <c r="S144" i="24"/>
  <c r="S143" i="24"/>
  <c r="S142" i="24"/>
  <c r="S141" i="24"/>
  <c r="S140" i="24"/>
  <c r="S139" i="24"/>
  <c r="S138" i="24"/>
  <c r="S137" i="24"/>
  <c r="S136" i="24"/>
  <c r="S135" i="24"/>
  <c r="S134" i="24"/>
  <c r="S133" i="24"/>
  <c r="S132" i="24"/>
  <c r="S131" i="24"/>
  <c r="S130" i="24"/>
  <c r="S129" i="24"/>
  <c r="S128" i="24"/>
  <c r="S127" i="24"/>
  <c r="S126" i="24"/>
  <c r="S125" i="24"/>
  <c r="S124" i="24"/>
  <c r="S123" i="24"/>
  <c r="S122" i="24"/>
  <c r="S121" i="24"/>
  <c r="S120" i="24"/>
  <c r="S119" i="24"/>
  <c r="S118" i="24"/>
  <c r="S117" i="24"/>
  <c r="S116" i="24"/>
  <c r="S115" i="24"/>
  <c r="S114" i="24"/>
  <c r="S113" i="24"/>
  <c r="S112" i="24"/>
  <c r="S111" i="24"/>
  <c r="S110" i="24"/>
  <c r="S109" i="24"/>
  <c r="S108" i="24"/>
  <c r="S107" i="24"/>
  <c r="S106" i="24"/>
  <c r="S105" i="24"/>
  <c r="S104" i="24"/>
  <c r="S103" i="24"/>
  <c r="S102" i="24"/>
  <c r="S101" i="24"/>
  <c r="S100" i="24"/>
  <c r="S99" i="24"/>
  <c r="S98" i="24"/>
  <c r="S97" i="24"/>
  <c r="S96" i="24"/>
  <c r="S95" i="24"/>
  <c r="S94" i="24"/>
  <c r="S93" i="24"/>
  <c r="S92" i="24"/>
  <c r="S91" i="24"/>
  <c r="S90" i="24"/>
  <c r="S89" i="24"/>
  <c r="S88" i="24"/>
  <c r="S87" i="24"/>
  <c r="S86" i="24"/>
  <c r="S85" i="24"/>
  <c r="S84" i="24"/>
  <c r="S83" i="24"/>
  <c r="S82" i="24"/>
  <c r="S81" i="24"/>
  <c r="S80" i="24"/>
  <c r="S79" i="24"/>
  <c r="S78" i="24"/>
  <c r="S77" i="24"/>
  <c r="S76" i="24"/>
  <c r="S75" i="24"/>
  <c r="S74" i="24"/>
  <c r="S73" i="24"/>
  <c r="S72" i="24"/>
  <c r="S71" i="24"/>
  <c r="S70" i="24"/>
  <c r="S69" i="24"/>
  <c r="S68" i="24"/>
  <c r="S67" i="24"/>
  <c r="S66" i="24"/>
  <c r="S65" i="24"/>
  <c r="S62" i="24"/>
  <c r="S61" i="24"/>
  <c r="S60" i="24"/>
  <c r="S59" i="24"/>
  <c r="S58" i="24"/>
  <c r="S56" i="24"/>
  <c r="S55" i="24"/>
  <c r="S53" i="24"/>
  <c r="S52" i="24"/>
  <c r="S50" i="24"/>
  <c r="S49" i="24"/>
  <c r="S47" i="24"/>
  <c r="S46" i="24"/>
  <c r="S44" i="24"/>
  <c r="S43" i="24"/>
  <c r="S40" i="24"/>
  <c r="S39" i="24"/>
  <c r="S37" i="24"/>
  <c r="S36" i="24"/>
  <c r="S35" i="24"/>
  <c r="S34" i="24"/>
  <c r="S33" i="24"/>
  <c r="S32" i="24"/>
  <c r="S31" i="24"/>
  <c r="S30" i="24"/>
  <c r="S29" i="24"/>
  <c r="S28" i="24"/>
  <c r="S27" i="24"/>
  <c r="S26" i="24"/>
  <c r="S25" i="24"/>
  <c r="S24" i="24"/>
  <c r="S23" i="24"/>
  <c r="S22" i="24"/>
  <c r="S21" i="24"/>
  <c r="S20" i="24"/>
  <c r="S19" i="24"/>
  <c r="S18" i="24"/>
  <c r="S17" i="24"/>
  <c r="S16" i="24"/>
  <c r="S15" i="24"/>
  <c r="S14" i="24"/>
  <c r="S13" i="24"/>
  <c r="S12" i="24"/>
  <c r="S11" i="24"/>
  <c r="S10" i="24"/>
  <c r="S9" i="24"/>
  <c r="S8" i="24"/>
  <c r="S7" i="24"/>
  <c r="S6" i="24"/>
  <c r="O11" i="14" l="1" a="1"/>
  <c r="O11" i="14" s="1"/>
  <c r="O12" i="14" a="1"/>
  <c r="O12" i="14" s="1"/>
  <c r="O13" i="14" a="1"/>
  <c r="O13" i="14" s="1"/>
  <c r="O14" i="14" a="1"/>
  <c r="O14" i="14" s="1"/>
  <c r="O15" i="14" a="1"/>
  <c r="O15" i="14" s="1"/>
  <c r="N10" i="14"/>
  <c r="N11" i="14"/>
  <c r="N12" i="14"/>
  <c r="N13" i="14"/>
  <c r="N14" i="14"/>
  <c r="N15" i="14"/>
  <c r="N41" i="14"/>
  <c r="N40" i="14"/>
  <c r="N39" i="14"/>
  <c r="N38" i="14"/>
  <c r="N37" i="14"/>
  <c r="N36" i="14"/>
  <c r="N35" i="14"/>
  <c r="S38" i="24"/>
  <c r="T38" i="24" a="1"/>
  <c r="T38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watinee.jong</author>
    <author>densri.ka</author>
  </authors>
  <commentList>
    <comment ref="E3" authorId="0" shapeId="0" xr:uid="{881ACBC6-229A-4C35-8A05-7DE5F2690392}">
      <text>
        <r>
          <rPr>
            <b/>
            <sz val="9"/>
            <color indexed="81"/>
            <rFont val="Tahoma"/>
            <family val="2"/>
          </rPr>
          <t>watinee.jong:</t>
        </r>
        <r>
          <rPr>
            <sz val="9"/>
            <color indexed="81"/>
            <rFont val="Tahoma"/>
            <family val="2"/>
          </rPr>
          <t xml:space="preserve">
ทรงกลม</t>
        </r>
      </text>
    </comment>
    <comment ref="L15" authorId="1" shapeId="0" xr:uid="{45774155-2204-4487-A3C2-6A6D4C96FD6B}">
      <text>
        <r>
          <rPr>
            <b/>
            <sz val="9"/>
            <color indexed="81"/>
            <rFont val="Tahoma"/>
            <family val="2"/>
          </rPr>
          <t>densri.ka:</t>
        </r>
        <r>
          <rPr>
            <sz val="9"/>
            <color indexed="81"/>
            <rFont val="Tahoma"/>
            <family val="2"/>
          </rPr>
          <t xml:space="preserve">
58 มียางกันลื่น
55 ไม่มียางกันลื่น</t>
        </r>
      </text>
    </comment>
    <comment ref="E17" authorId="0" shapeId="0" xr:uid="{3B85470D-B45D-451B-A9D4-AAB86D89D5A4}">
      <text>
        <r>
          <rPr>
            <b/>
            <sz val="9"/>
            <color indexed="81"/>
            <rFont val="Tahoma"/>
            <family val="2"/>
          </rPr>
          <t>watinee.jong:</t>
        </r>
        <r>
          <rPr>
            <sz val="9"/>
            <color indexed="81"/>
            <rFont val="Tahoma"/>
            <family val="2"/>
          </rPr>
          <t xml:space="preserve">
R 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Suphawadee Ratderm</author>
  </authors>
  <commentList>
    <comment ref="F115" authorId="0" shapeId="0" xr:uid="{02887D50-494D-4B92-864C-B6760F33D8C0}">
      <text>
        <r>
          <rPr>
            <b/>
            <sz val="9"/>
            <color indexed="81"/>
            <rFont val="Tahoma"/>
            <family val="2"/>
          </rPr>
          <t>Suphawadee Ratderm:</t>
        </r>
        <r>
          <rPr>
            <sz val="9"/>
            <color indexed="81"/>
            <rFont val="Tahoma"/>
            <family val="2"/>
          </rPr>
          <t xml:space="preserve">
เสนอ 5.4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<sst xmlns="http://schemas.openxmlformats.org/spreadsheetml/2006/main" count="1174" uniqueCount="449">
  <si>
    <t>Category :  POSM</t>
  </si>
  <si>
    <t>Page 1/18</t>
  </si>
  <si>
    <t>POSM</t>
  </si>
  <si>
    <t>Item</t>
  </si>
  <si>
    <t>รายการ</t>
  </si>
  <si>
    <t>History 2023</t>
  </si>
  <si>
    <t>History 2024</t>
  </si>
  <si>
    <t>History 2025</t>
  </si>
  <si>
    <t>QTY</t>
  </si>
  <si>
    <t>Vendor 1</t>
  </si>
  <si>
    <t>Vendor 2</t>
  </si>
  <si>
    <t>Vendor 3</t>
  </si>
  <si>
    <t>Vendor 4</t>
  </si>
  <si>
    <t>Vendor 5</t>
  </si>
  <si>
    <t>Vendor 6</t>
  </si>
  <si>
    <t>Vendor 7</t>
  </si>
  <si>
    <t>Vendor 8</t>
  </si>
  <si>
    <t>Vendor 9</t>
  </si>
  <si>
    <t>Vendor 10</t>
  </si>
  <si>
    <t>Vendor 11</t>
  </si>
  <si>
    <t>Vendor 12</t>
  </si>
  <si>
    <t>Vendor 13</t>
  </si>
  <si>
    <t>Vendor 14</t>
  </si>
  <si>
    <t>ราคาที่ผ่านการประมูล</t>
  </si>
  <si>
    <t>รายชื่อผู้ผ่านการประมูล</t>
  </si>
  <si>
    <t>ถังใส่น้ำแข็ง-โค้ก(ทรงสี่เหลี่ยม)</t>
  </si>
  <si>
    <t>กล่องทิชชู-โค้ก</t>
  </si>
  <si>
    <t>ผ้ากันเปื้อนโคคา-โคล่าแบบเอี้ยม(เต็มตัว) ไขว้หลัง ขนาดสกรีน ไม่เกิน A4</t>
  </si>
  <si>
    <t>ผ้ากันเปื้อนโคคา-โคล่าแบบ(ครึ่งตัว)</t>
  </si>
  <si>
    <t>ร่มโค้ก 36 นิ้ว - โครงเหล็ก สีตาย (ไม่เกิน 4 สี)</t>
  </si>
  <si>
    <t>ร่มโค้ก 36 นิ้ว  - โครงเหล็ก ไล่ระดับสี (ไม่เกิน 8 เฉด)</t>
  </si>
  <si>
    <t>ร่มโค้ก 36 นิ้ว  - โครงไฟเบอร์ สีตาย (ไม่เกิน 4 สี)</t>
  </si>
  <si>
    <t>ร่มโค้ก 36 นิ้ว  - โครงไฟเบอร์ ไล่ระดับสี (ไม่เกิน 8 เฉด)</t>
  </si>
  <si>
    <t>ร่มโค้ก 40 นิ้ว - โครงเหล็ก สีตาย (ไม่เกิน 4 สี)</t>
  </si>
  <si>
    <t>ร่มโค้ก 40 นิ้ว  - โครงเหล็ก ไล่ระดับสี (ไม่เกิน 8 เฉด)</t>
  </si>
  <si>
    <t>ร่มโค้ก 40 นิ้ว  - โครงไฟเบอร์ สีตาย (ไม่เกิน 4 สี)</t>
  </si>
  <si>
    <t>ร่มโค้ก 40 นิ้ว  - โครงไฟเบอร์ ไล่ระดับสี (ไม่เกิน 8 เฉด)</t>
  </si>
  <si>
    <t>กล่องใส่ช้อน/ตะเกียบ(แบบแนวตั้ง)</t>
  </si>
  <si>
    <t>หมวกกุ๊ก</t>
  </si>
  <si>
    <t>R-4</t>
  </si>
  <si>
    <t xml:space="preserve">PM Rack  4 ชั้น </t>
  </si>
  <si>
    <t>Station 2 ชั้น (สีแดง)</t>
  </si>
  <si>
    <t>RGB</t>
  </si>
  <si>
    <t>Mega Rack  ขนาด 120x40x150 ซม. TT-DSD</t>
  </si>
  <si>
    <t>Mega Rack ขนาด 150x60x150 ซม. WS</t>
  </si>
  <si>
    <t>Table</t>
  </si>
  <si>
    <t>Category :  Printing-MKT</t>
  </si>
  <si>
    <t>Page 2/18</t>
  </si>
  <si>
    <t>รายากร</t>
  </si>
  <si>
    <t>vendor 1</t>
  </si>
  <si>
    <t>vendor 2</t>
  </si>
  <si>
    <t>vendor 3</t>
  </si>
  <si>
    <t>vendor 4</t>
  </si>
  <si>
    <t>vendor 5</t>
  </si>
  <si>
    <t>vendor 6</t>
  </si>
  <si>
    <t>vendor 7</t>
  </si>
  <si>
    <t>vendor 8</t>
  </si>
  <si>
    <t>vendor 9</t>
  </si>
  <si>
    <t>vendor 10</t>
  </si>
  <si>
    <t>vendor 11</t>
  </si>
  <si>
    <t>vendor 12</t>
  </si>
  <si>
    <t>vendor 13</t>
  </si>
  <si>
    <t>vendor 14</t>
  </si>
  <si>
    <t>vendor 15</t>
  </si>
  <si>
    <t>Printing-mkt</t>
  </si>
  <si>
    <t xml:space="preserve">โคมไฟสำเร็จรูป (ทรงกลม แบบนูน) </t>
  </si>
  <si>
    <t>หจก.ตรังพริ้นติ้งแอนด์ดีไซน์ เสนอราคาไม่ตรงตามตัวอย่างสเปคที่ต้องการ</t>
  </si>
  <si>
    <t xml:space="preserve">PP Board โค้กเขียนชื่อร้านค้าโค้ก 120x120 cm. </t>
  </si>
  <si>
    <t>PP Board 85x190 cm.(ป้ายหน้าเคาน์เตอร์)</t>
  </si>
  <si>
    <t>PP Board 70x150 cm. (ป้ายหน้าเคาน์เตอร์)</t>
  </si>
  <si>
    <t xml:space="preserve">ป้ายรายการอาหารโค้ก 60x120 cm. </t>
  </si>
  <si>
    <t>แบนเนอร์โค้ก 80x300 cm.</t>
  </si>
  <si>
    <t>ผ้าใบกันสาด- โค้ก 1.8x3.5 m.</t>
  </si>
  <si>
    <t>-</t>
  </si>
  <si>
    <t>แผ่นริจิ-โค้ก 16x24 นิ้ว</t>
  </si>
  <si>
    <t>แผ่นริจิ-โค้ก 24x32 นิ้ว</t>
  </si>
  <si>
    <t>ธงราว 30x30 cm.</t>
  </si>
  <si>
    <t>ผ้าปูโต๊ะโค้ก</t>
  </si>
  <si>
    <t xml:space="preserve">สติ๊กเกอร์ 37x28 cm. </t>
  </si>
  <si>
    <t>Prillar Sign</t>
  </si>
  <si>
    <t>*หมายเหตุ  1.พิจารณาลำดับแรกจากราคาต่ำสุด(ระยะเวลาผลิต 15 วัน)หากเป็นความต้องการเร่งด่วนภายใน5-7 วัน พิจารณาซัพพลายเออร์ในท้องถิ่น</t>
  </si>
  <si>
    <t>*หมายเหตุ  2.เนื่องจากงาน Print rate ไม่มีจำนวนและระยะเวลาที่แน่นอน ในกรณีซัพพลายเออร์รายแรก ไม่สามารถผลิตได้ทันในระยะเวลาที่ต้องการ ให้พิจารณาซัพพลายเออร์รายถัดไป</t>
  </si>
  <si>
    <t>Category :  Garment</t>
  </si>
  <si>
    <t>Page 5/18</t>
  </si>
  <si>
    <t>Garment</t>
  </si>
  <si>
    <t>QTY Y2026</t>
  </si>
  <si>
    <t xml:space="preserve">เสื้อยืดสีขาว และเสื้อเทศกาลกินเจ
 - คอกลม/คอวีแขนสั้น
 - ผ้าCotton100% #32
 - แขนสั้น
 เสื้อยืดสีอื่นๆ
 *สีอ่อน เพิ่ม 5 บาท
 *สีกลาง เพิ่ม 10 บาท
 *สีเข้ม เพิ่ม 20 บาท
 เสื้อ 5 ไซด์ และไซด์พิเศษ 1 ไซด์
</t>
  </si>
  <si>
    <t>50-100</t>
  </si>
  <si>
    <t>ฝ่ายการตลาด โดยคุณสราวุฒิ อินทะเล,คุณทวีศักดิ์ เลิศบุรุษ และคุณภัทรวัฒน์ มากรักษ์ได้พิจารณาคัดเลือกสเปคเสื้อตัวอย่างของ หจก.พียู29</t>
  </si>
  <si>
    <t>101-500</t>
  </si>
  <si>
    <t>ฝ่ายการตลาด โดยคุณสราวุฒิ อินทะเล,คุณทวีศักดิ์ เลิศบุรุษ และคุณภัทรวัฒน์ มากรักษ์ได้พิจารณาคัดเลือกสเปคเสื้อตัวอย่างของ หจก.พียู30</t>
  </si>
  <si>
    <t>501-1,000</t>
  </si>
  <si>
    <t>ฝ่ายการตลาด โดยคุณสราวุฒิ อินทะเล,คุณทวีศักดิ์ เลิศบุรุษ และคุณภัทรวัฒน์ มากรักษ์ได้พิจารณาคัดเลือกสเปคเสื้อตัวอย่างของ หจก.พียู31</t>
  </si>
  <si>
    <t>1001-1,500</t>
  </si>
  <si>
    <t>ฝ่ายการตลาด โดยคุณสราวุฒิ อินทะเล,คุณทวีศักดิ์ เลิศบุรุษ และคุณภัทรวัฒน์ มากรักษ์ได้พิจารณาคัดเลือกสเปคเสื้อตัวอย่างของ หจก.พียู32</t>
  </si>
  <si>
    <t>1,501-2,000</t>
  </si>
  <si>
    <t>ฝ่ายการตลาด โดยคุณสราวุฒิ อินทะเล,คุณทวีศักดิ์ เลิศบุรุษ และคุณภัทรวัฒน์ มากรักษ์ได้พิจารณาคัดเลือกสเปคเสื้อตัวอย่างของ หจก.พียู33</t>
  </si>
  <si>
    <t>2,001-3,000</t>
  </si>
  <si>
    <t>ฝ่ายการตลาด โดยคุณสราวุฒิ อินทะเล,คุณทวีศักดิ์ เลิศบุรุษ และคุณภัทรวัฒน์ มากรักษ์ได้พิจารณาคัดเลือกสเปคเสื้อตัวอย่างของ หจก.พียู34</t>
  </si>
  <si>
    <t>3,001-5,000</t>
  </si>
  <si>
    <t>ฝ่ายการตลาด โดยคุณสราวุฒิ อินทะเล,คุณทวีศักดิ์ เลิศบุรุษ และคุณภัทรวัฒน์ มากรักษ์ได้พิจารณาคัดเลือกสเปคเสื้อตัวอย่างของ หจก.พียู35</t>
  </si>
  <si>
    <t>เสื้อโปโล
 - ผ้า TC (เสื้อสีขาวไม่รวมปัก)
 - เสื้อแขนปล่อย ไม่จั้ม ไม่ทอแถบสีเพิ่ม
 - ปกเสื้อสีพื้นปกติไม่ทอแถบสีเพิ่ม
 เสื้อสีอื่นๆ
 *สีอ่อน เพิ่ม 5 บาท
 *สีกลาง เพิ่ม 10 บาท
 *สีเข้ม เพิ่ม 20 บาท
 เสื้อ 5 ไซด์ และไซด์พิเศษ 1 ไซด์</t>
  </si>
  <si>
    <t>150  Dry-Plus)</t>
  </si>
  <si>
    <t>ฝ่ายการตลาด โดยคุณสราวุฒิ อินทะเล และคุณทวีศักดิ์ เลิศบุรุษได้พิจารณาคัดเลือกสเปคเสื้อตัวอย่างของ Jomyut</t>
  </si>
  <si>
    <t>เสื้อแจ็คเก็ต 
 - ผ้าไมโครพีชบาง (ผ้าร่มซับใน)
 - แขนยาว (เสื้อสีขาวไม่รวมปัก)
เสื้อยืดสีอื่นๆ
 *สีอ่อน เพิ่ม 5 บาท
 *สีกลาง เพิ่ม 10 บาท
 *สีเข้ม เพิ่ม 20 บาท
 เสื้อ 5 ไซด์ และไซด์พิเศษ 1 ไซด์</t>
  </si>
  <si>
    <t>301-500</t>
  </si>
  <si>
    <t>ฝ่ายการตลาด โดยคุณสราวุฒิ อินทะเล และคุณทวีศักดิ์ เลิศบุรุษ ได้พิจารณาคัดเลือกสเปคเสื้อตัวอย่างของ Jomyut</t>
  </si>
  <si>
    <t>เสื้อคอกลมพิมพ์ลาย 
 - พิมพ์ลายในตัว/ซับลิเมชั่น 
 - ผ้าไมโคร 
 เสื้อยืดสีอื่นๆ
 *สีอ่อน เพิ่ม 5 บาท
 *สีกลาง เพิ่ม 10 บาท
 *สีเข้ม เพิ่ม 20 บาท
 เสื้อ 5 ไซด์ และไซด์พิเศษ 1 ไซด์</t>
  </si>
  <si>
    <t>115  (ผ้าUT100 )</t>
  </si>
  <si>
    <t xml:space="preserve">เสื้อโปโล ผ้าไมโคร </t>
  </si>
  <si>
    <t>125(ผ้า UT100)</t>
  </si>
  <si>
    <t xml:space="preserve"> - พิมพ์ลายในตัว/ซับลิเมชั่น 
 - ผ้าไมโคร </t>
  </si>
  <si>
    <t xml:space="preserve"> เสื้อยืดสีอื่นๆ</t>
  </si>
  <si>
    <t xml:space="preserve"> *สีอ่อน เพิ่ม 5 บาท</t>
  </si>
  <si>
    <t xml:space="preserve"> *สีกลาง เพิ่ม 10 บาท</t>
  </si>
  <si>
    <t xml:space="preserve"> *สีเข้ม เพิ่ม 20 บาท</t>
  </si>
  <si>
    <t xml:space="preserve"> เสื้อ 5 ไซด์ และไซด์พิเศษ 1 ไซด์</t>
  </si>
  <si>
    <t>เสื้อคอปก พิมพ์ลาย 4 สี CMYK +ผ้าดรายเทค
 - เนื้อผ้าไมโคร 130-140 กรัม
 - พิมพ์ลายในตัว/ซับลิเมชั่น 
 - ผ้าไมโคร 
 - เสื้อ 5 ไซด์ และไซด์พิเศษ 1 ไซด์
 เสื้อยืดสีอื่นๆ
 *สีอ่อน เพิ่ม 5 บาท
 *สีกลาง เพิ่ม 10 บาท
 *สีเข้ม เพิ่ม 20 บาท
 เสื้อ 5 ไซด์ และไซด์พิเศษ 1 ไซด์</t>
  </si>
  <si>
    <t>125 (ผ้า UT100)</t>
  </si>
  <si>
    <t>เสื้อโปโล ผ้าดรายเทค 201
 - ผ้าดรายเทค 201 (เสื้อสีขาวไม่รวมปัก)
 - เสื้อแขนปล่อย ไม่จั้ม ไม่ทอแถบสีเพิ่ม
 - ปกเสื้อสีพื้นปกติไม่ทอแถบสีเพิ่ม
 เสื้อสีอื่นๆ
 *สีอ่อน เพิ่ม 5 บาท
 *สีกลาง เพิ่ม 10 บาท
 *สีเข้ม เพิ่ม 20 บาท
 เสื้อ 5 ไซด์ และไซด์พิเศษ 1 ไซด์</t>
  </si>
  <si>
    <t>จากการพิจารณาตัวอย่างสินค้า ประวัติผลงาน ของบริษัทจอมยุทธ์ จำกัด ประกอบด้วย ระยะเวลาผลิตเนื้อผ้า เทคนิคการปัก การสกรีน และปรับตัวอย่างงานตรงตามสเปคที่ต้องการของผู้ใช้งาน  มีคุณภาพ ซึ่งเป็นซัพพลายเออร์ที่ใช้ร่วมกับ TNTL</t>
  </si>
  <si>
    <t>เสื้อโปโล ผ้า Dry-Touch MP48  (เพิ่มเฉพาะกิจแจ้งคณะกรรมการแล้ว เนื่องจากเสื้อสเปคใหม่ราคาเหมาะสม ไว้เป็นทางเลือก
 - ผ้า Dry-Touch MP48 (เสื้อสีขาวไม่รวมปัก)
 - เสื้อแขนปล่อย ไม่จั้ม ไม่ทอแถบสีเพิ่ม
 - ปกเสื้อสีพื้นปกติไม่ทอแถบสีเพิ่ม
 เสื้อสีอื่นๆ
 *สีอ่อน เพิ่ม 5 บาท
 *สีกลาง เพิ่ม 10 บาท
 *สีเข้ม เพิ่ม 20 บาท
 เสื้อ 5 ไซด์ และไซด์พิเศษ 1 ไซด์</t>
  </si>
  <si>
    <t>สกรีน 1 สี 1 จุด ขนาดไม่เกิน A4</t>
  </si>
  <si>
    <t>ใช้ราคาของซัพฯที่ประมูลเสื้อได้ประเภทนั้นๆ</t>
  </si>
  <si>
    <t>สกรีน 2 สี 1 จุด ขนาดไม่เกิน A4</t>
  </si>
  <si>
    <t>สกรีน 3 สี 1 จุด ขนาดไม่เกิน A4</t>
  </si>
  <si>
    <t>สกรีน 4 สี 1 จุด ขนาดไม่เกิน A4</t>
  </si>
  <si>
    <t>ค่าปัก ขนาดปัก ไม่เกิน 10 cm 1 สี 1 จุด ตัวอักษรไม่เทพื้น</t>
  </si>
  <si>
    <t>ค่าปัก ขนาดปัก ไม่เกิน 10 cm 2 สี 1 จุด ตัวอักษรไม่เทพื้น</t>
  </si>
  <si>
    <t>ค่าปัก ขนาดปัก ไม่เกิน 10 cm 3 สี 1 จุด ตัวอักษรไม่เทพื้น</t>
  </si>
  <si>
    <t>ค่าปัก ขนาดปัก ไม่เกิน 10 cm 4 สี 1 จุด ตัวอักษรไม่เทพื้น</t>
  </si>
  <si>
    <t>*หมายเหตุ ตัวอย่างเสื้อผ่านการพิจารณาคัดเลือกจากฝ่ายการตลาดเรียบร้อยแล้ว</t>
  </si>
  <si>
    <t>Category :  Premium-EA&amp;HRC</t>
  </si>
  <si>
    <t>Page 6/18</t>
  </si>
  <si>
    <t>QTY Y2025</t>
  </si>
  <si>
    <t>Price Y2025</t>
  </si>
  <si>
    <t>Supplier 2025</t>
  </si>
  <si>
    <t>vendor1</t>
  </si>
  <si>
    <t>vendor2</t>
  </si>
  <si>
    <t>vendor3</t>
  </si>
  <si>
    <t>vendor4</t>
  </si>
  <si>
    <t>vendor5</t>
  </si>
  <si>
    <t>vendor6</t>
  </si>
  <si>
    <t>vendor7</t>
  </si>
  <si>
    <t>vendor8</t>
  </si>
  <si>
    <t>vendor9</t>
  </si>
  <si>
    <t>Premium-EA&amp;HRC</t>
  </si>
  <si>
    <t>ผ้าเบอร์วิ่ง</t>
  </si>
  <si>
    <t>บจก.กราฟฟิคเน็กซ์</t>
  </si>
  <si>
    <t>แก้วกระดาษ ขนาด 6.5 ออนซ์</t>
  </si>
  <si>
    <t>king packaging.co.,ltd</t>
  </si>
  <si>
    <t>จากการพิจารณาตัวอย่าง ของ บจก.พันเจริญ โกลบอล ไม่เป็นไปตามสเปคที่ต้องการ</t>
  </si>
  <si>
    <t>แก้วกระดาษขนาด 22 ออนช์</t>
  </si>
  <si>
    <t>ร่มเสาข้าง</t>
  </si>
  <si>
    <t xml:space="preserve">ขาตั้ง Earth Tone </t>
  </si>
  <si>
    <t>ร่มสีดำ 2 เมตร</t>
  </si>
  <si>
    <t>ขาตั้งเหล็กแพสีดำ</t>
  </si>
  <si>
    <t>350
(36*36cm)</t>
  </si>
  <si>
    <t>ร่มชายหาด 42 นิ้ว</t>
  </si>
  <si>
    <t>เหล็กเสียบสำหรับร่มปักชายหาด</t>
  </si>
  <si>
    <t xml:space="preserve">Menu Stand Earth tone </t>
  </si>
  <si>
    <t>เก้าอีผู้กำกับ</t>
  </si>
  <si>
    <t xml:space="preserve">Bean Bag (หนังชามัวร์) </t>
  </si>
  <si>
    <t xml:space="preserve">Bean Bag (วัสดุผ้า) </t>
  </si>
  <si>
    <t>50
100</t>
  </si>
  <si>
    <t>Bar mat</t>
  </si>
  <si>
    <t>ป้ายเคาน์เตอร์คิวอาร์โค้ช</t>
  </si>
  <si>
    <t>1-5</t>
  </si>
  <si>
    <t>6-10</t>
  </si>
  <si>
    <t>Category :  Printing-Rate</t>
  </si>
  <si>
    <t>Page 13/18</t>
  </si>
  <si>
    <t>ลำดับ</t>
  </si>
  <si>
    <t>vendor10</t>
  </si>
  <si>
    <t>vendor11</t>
  </si>
  <si>
    <t>vendor12</t>
  </si>
  <si>
    <t>Arch 60x70 cm.ไดคัทตามแบบPP Board 5 มิล ขึ้นรูปประกอบเป็น Arch /2 หน้า สามารถส่งให้หน้างานประกอบเองได้/มีความคงทน</t>
  </si>
  <si>
    <t>1-10</t>
  </si>
  <si>
    <t>ราคาของ บจก.กราฟฟิกเน็กซ์ ต่ำสุด แต่ไม่ตรงตามสเปคตามที่ต้องการ</t>
  </si>
  <si>
    <t>11-20</t>
  </si>
  <si>
    <t>Arch 60x90 cm.ไดคัทตามแบบPP Board 5 มิล ขึ้นรูปประกอบเป็น Arch /2 หน้า สามารถส่งให้หน้างานประกอบเองได้/มีความคงทน</t>
  </si>
  <si>
    <t>Arch 60x100 cm.ไดคัทตามแบบPP Board 5 มิล ขึ้นรูปประกอบเป็น Arch /2 หน้า สามารถส่งให้หน้างานประกอบเองได้/มีความคงทน</t>
  </si>
  <si>
    <t>Arch 75x160 cm.ไดคัทตามแบบPP Board 5 มิล ขึ้นรูปประกอบเป็น Arch /2 หน้า สามารถส่งให้หน้างานประกอบเองได้/มีความคงทน</t>
  </si>
  <si>
    <t>Arch 90x100 cm.ไดคัทตามแบบPP Board 5 มิล ขึ้นรูปประกอบเป็น Arch /2 หน้า สามารถส่งให้หน้างานประกอบเองได้/มีความคงทน</t>
  </si>
  <si>
    <t>Arch 120x170 cm.ไดคัทตามแบบPP Board 5 มิล ขึ้นรูปประกอบเป็น Arch /2 หน้า สามารถส่งให้หน้างานประกอบเองได้/มีความคงทน</t>
  </si>
  <si>
    <t>Arch 190x90 cm.ไดคัทตามแบบPP Board 5 มิล ขึ้นรูปประกอบเป็น Arch /2 หน้า สามารถส่งให้หน้างานประกอบเองได้/มีความคงทน</t>
  </si>
  <si>
    <t>Arch 180x100 cm.ไดคัทตามแบบPP Board 5 มิล ขึ้นรูปประกอบเป็น Arch /2 หน้า สามารถส่งให้หน้างานประกอบเองได้/มีความคงทน</t>
  </si>
  <si>
    <t>Arch  ราคาต่อตารางเมตร (กรณีไม่มีขนาดตามข้อที่ 1-8)
ไดคัทตามแบบPP Board 5 มิล ขึ้นรูปประกอบเป็น Arch /2 หน้า สามารถส่งให้หน้างานประกอบเองได้/มีความคงทน</t>
  </si>
  <si>
    <t>พิจารณาลำดับแรกจากราคาต่ำสุด(ระยะเวลาผลิต 15 วัน)หากเป็นความต้องการเร่งด่วนภายใน5-7 วัน พิจารณาซัพพลายเออร์ในท้องถิ่น</t>
  </si>
  <si>
    <t>Wrap Around 3 mm. 30x70 cm.
 - วัสดุ PP Board 3 mm. พิมพ์ 1 ด้าน 
 - ตัดสี่เหลี่ยม,  พิมพ์ 4 สี
 - Indoor บน สติ๊กเกอร์ ติดบนแผ่น PP Board 3 mm.</t>
  </si>
  <si>
    <t>1-20</t>
  </si>
  <si>
    <t>21-50</t>
  </si>
  <si>
    <t>51-100</t>
  </si>
  <si>
    <t>501-1000</t>
  </si>
  <si>
    <t>1001-2,000</t>
  </si>
  <si>
    <t xml:space="preserve">Wrap Around 3 mm. 30x100 cm.
 - วัสดุ PP Board 3 mm. พิมพ์ 1 ด้าน
 - Indoor บน สติ๊กเกอร์ ติดบนแผ่น PP Board 3 mm.
 - ตัดสี่เหลี่ยม พิมพ์ 4 สี </t>
  </si>
  <si>
    <t>Wrap Around 3 mm. 30x120 cm.
 - วัสดุ PP Board 3 mm. พิมพ์ 1 ด้าน 
 - ตัดสี่เหลี่ยม,  พิมพ์ 4 สี
 - Indoor บน สติ๊กเกอร์ ติดบนแผ่น PP Board 3 mm.</t>
  </si>
  <si>
    <t>Wrap Around 3 mm. 40x100 cm.
 - วัสดุ PP Board 3 mm. พิมพ์ 1 ด้าน 
 - ตัดสี่เหลี่ยม,  พิมพ์ 4 สี
 - Indoor บน สติ๊กเกอร์ ติดบนแผ่น PP Board 3 mm.</t>
  </si>
  <si>
    <t>Wrap Around 3 mm. 40x120 cm.
 - วัสดุ PP Board 3 mm. พิมพ์ 1 ด้าน
 - Indoor บน สติ๊กเกอร์ ติดบนแผ่น PP Board 3 mm., พิมพ์ 4 สี 
 - ตัดสี่เหลี่ยม</t>
  </si>
  <si>
    <t>Wrap Around 3 mm. 50x100 cm.
 - วัสดุ PP Board 3 mm. พิมพ์ 1 ด้าน 
 - ตัดสี่เหลี่ยม,  พิมพ์ 4 สี
 - Indoor บน สติ๊กเกอร์ ติดบนแผ่น PP Board 3 mm.</t>
  </si>
  <si>
    <t>Wrap Around 3 mm. 50x120 cm.
 - วัสดุ PP Board 3 mm. พิมพ์ 1 ด้าน
 - Indoor บน สติ๊กเกอร์ ติดบนแผ่น PP Board 3 mm. พิมพ์ 4 สี 
 - ตัดสี่เหลี่ยม</t>
  </si>
  <si>
    <t>Wrap Around 3 mm. 60x100 cm.
 - วัสดุ PP Board 3 mm. พิมพ์ 1 ด้าน 
 - ตัดสี่เหลี่ยม,  พิมพ์ 4 สี
 - Indoor บน สติ๊กเกอร์ ติดบนแผ่น PP Board 3 mm.</t>
  </si>
  <si>
    <t>Wrap Around 3 mm. 60x120 cm.
 - วัสดุ PP Board 3 mm. พิมพ์ 1 ด้าน
 - Indoor บน สติ๊กเกอร์ ติดบนแผ่น PP Board 3 mm., พิมพ์ 4 สี 
 - ตัดสี่เหลี่ยม</t>
  </si>
  <si>
    <t>Wrap Around 3 mm. 70x100 cm.
 - วัสดุ PP Board 3 mm. พิมพ์ 1 ด้าน 
 - ตัดสี่เหลี่ยม,  พิมพ์ 4 สี
 - Indoor บน สติ๊กเกอร์ ติดบนแผ่น PP Board 3 mm.</t>
  </si>
  <si>
    <t>Wrap Around 3 mm. 70x120 cm.
 - วัสดุ PP Board 3 mm. พิมพ์ 1 ด้าน
 - Indoor บน สติ๊กเกอร์ ติดบนแผ่น PP Board 3 mm., พิมพ์ 4 สี 
 - ตัดสี่เหลี่ยม</t>
  </si>
  <si>
    <t>Wrap Around 3 mm. 80x100 cm.
 - วัสดุ PP Board 3 mm. พิมพ์ 1 ด้าน 
 - ตัดสี่เหลี่ยม,  พิมพ์ 4 สี
 - Indoor บน สติ๊กเกอร์ ติดบนแผ่น PP Board 3 mm.</t>
  </si>
  <si>
    <t>Wrap Around 3 mm. 80x120 cm.
 - วัสดุ PP Board 3 mm. พิมพ์ 1 ด้าน
 - Indoor บน สติ๊กเกอร์ ติดบนแผ่น PP Board 3 mm., พิมพ์ 4 สี 
 - ตัดสี่เหลี่ยม</t>
  </si>
  <si>
    <t>Wrap Around 3 mm. ราคาตารางเมตรละ 
 - วัสดุ PP Board 3 mm. พิมพ์ 1 ด้าน
 - Indoor บน สติ๊กเกอร์ ติดบนแผ่น PP Board 3 mm., พิมพ์ 4 สี 
 - ตัดสี่เหลี่ยม</t>
  </si>
  <si>
    <t>Wrap Around 5 mm. ราคาตารางเมตรละ 
 - วัสดุ PP Board 5 mm. พิมพ์ 1 ด้าน
 - Indoor บน สติ๊กเกอร์ ติดบนแผ่น PP Board 3 mm., พิมพ์ 4 สี 
 - ตัดสี่เหลี่ยม</t>
  </si>
  <si>
    <t xml:space="preserve">Journal A4 with 60-65 pages 4color รวมปก
</t>
  </si>
  <si>
    <t>100-200</t>
  </si>
  <si>
    <t>Flat Size A3 (420mm x 297mm)
กระดาษถนอมสายตา 80 แกรม
แม็กกลาง พิมพ์ 4 สี แบบ Offset</t>
  </si>
  <si>
    <t>201-300</t>
  </si>
  <si>
    <t>Journal A4 with66- 75 pages รวมปก</t>
  </si>
  <si>
    <t>Flat SizeA3 (420mm x 297mm)
กระดาษถนอมสายตา 80 แกรม
แม็กกลาง พิมพ์ 4 สี แบบ Offset</t>
  </si>
  <si>
    <t>Neck tag 6.5x7 cm. Art card 250 grams</t>
  </si>
  <si>
    <t>Material: Art card 250 grams Printing: 4 colors offset (CMYK)</t>
  </si>
  <si>
    <t>โปสเตอร์ Cut2  ขนาด 20 x 30 นิ้ว กระดาษอาร์ตการ์ด250แกรม</t>
  </si>
  <si>
    <t>1-100</t>
  </si>
  <si>
    <t>ในกรณีซัพพลายเออร์รายแรก ไม่สามารถผลิตได้ทันในระยะเวลาที่ต้องการ ให้พิจารณาซัพพลายเออร์รายถัดไป</t>
  </si>
  <si>
    <t>พิมพ์ 4 สี 1 หน้า ตัดสี่เหลี่ยม</t>
  </si>
  <si>
    <t>101-200</t>
  </si>
  <si>
    <t>โปสเตอร์ Cut4 ขนาด 15 x 21 นิ้ว กระดาษอาร์ตการ์ด250แกรม</t>
  </si>
  <si>
    <t>1-200</t>
  </si>
  <si>
    <t>โปสเตอร์  ขนาด 16 x 24 นิ้ว  พิมพ์ 4 สี 1 หน้า</t>
  </si>
  <si>
    <t>วัสดุ กระดาษกล่องแป้งหลังมันหลังเทา 270 g. ตัดสี่เหลี่ยม</t>
  </si>
  <si>
    <t>PP Board 29 x 50 cm .</t>
  </si>
  <si>
    <t xml:space="preserve"> - PP Board 3 mm. -หน้าเดียว Headboard PVS Rack</t>
  </si>
  <si>
    <t xml:space="preserve"> - หน้าเดียว Headboard PVS Rack</t>
  </si>
  <si>
    <t xml:space="preserve"> - Injet Indoor</t>
  </si>
  <si>
    <t>Headboard PVS Rack PP board 30 x 47 cm. 
 - หน้าเดียว PP Board 3 mm.  
 - ตัดสี่เหลี่ยม Inkjet Indoor</t>
  </si>
  <si>
    <t>PP Board 46x123.5 cm. 4 mm. 
-หน้าเดียวสติ๊กเกอร์ PVC  ติดบน PP Board 
หากจำนวนเยอะใช้วิธีการ silk screen</t>
  </si>
  <si>
    <t>Standee 60x160 cm. พร้อมขาตั้ง 
 - สติ๊กเกอร์ PVCติดบน PP Board หนา 5 mm.หน้าเดียว พร้อมฐานขาตั้ง</t>
  </si>
  <si>
    <t>5</t>
  </si>
  <si>
    <t>10</t>
  </si>
  <si>
    <t>20</t>
  </si>
  <si>
    <t xml:space="preserve"> - ไดคัทตามแบบ</t>
  </si>
  <si>
    <t>50</t>
  </si>
  <si>
    <t>หากจำนวนเยอะใช้วิธีการ silk screen</t>
  </si>
  <si>
    <t>100</t>
  </si>
  <si>
    <t>Tent card A3 
 - วัสดุ Inkjet Indoor บนสติกเกอร์ PVC เมาส์บนPP Board 3 mm. 
 - ประกอบเป็นเต้นท์การ์ดทรงปฏิทิน ภาพ 2 หน้า(หน้า-หลังเหมือนกัน)</t>
  </si>
  <si>
    <t>101-300</t>
  </si>
  <si>
    <t>Tent card A4 
 - วัสดุ Inkjet Indoor บนสติกเกอร์ PVC เมาส์บนPP Board 3 mm.
 - ประกอบเป็นเต้นท์การ์ดทรงปฏิทิน ภาพ 2 หน้า(หน้า-หลังเหมือนกัน)</t>
  </si>
  <si>
    <t>Tent card A5 
 - วัสดุ Inkjet Indoor บนสติกเกอร์ PVC เมาส์บนPP Board 3 mm.
 - ประกอบเป็นเต้นท์การ์ดทรงปฏิทิน ภาพ 2 หน้า(หน้า-หลังเหมือนกัน)</t>
  </si>
  <si>
    <t>Vacuum STICKER  ขนาด 10x10 cm.</t>
  </si>
  <si>
    <t>100-500</t>
  </si>
  <si>
    <t xml:space="preserve"> - สติ๊กเกอร์กาวรีมูฟสำหรับติดกระจกด้านหน้าตู้เย็น</t>
  </si>
  <si>
    <t>1,001-1,500</t>
  </si>
  <si>
    <t>2,001-5,000</t>
  </si>
  <si>
    <t>Vacuum STICKER  ขนาด 12x12 cm.</t>
  </si>
  <si>
    <t>Vacuum STICKER  ขนาด 15x15 cm.</t>
  </si>
  <si>
    <t>Wobbler 10x10 cm.
 - วัสดุกระดาษอาร์ตการ์ด 300 แกรมพิมพ์ 4/0 สี จำนวน 1 ด้าน
 - ไดคัทตามแบบ ติดด้านพลาสติกใส</t>
  </si>
  <si>
    <t>1-50</t>
  </si>
  <si>
    <t>500-1,000</t>
  </si>
  <si>
    <t>1,000-3,000</t>
  </si>
  <si>
    <t>3,000-5000</t>
  </si>
  <si>
    <t>5,001-10,000</t>
  </si>
  <si>
    <t>10,000-15,000</t>
  </si>
  <si>
    <t>Wobbler 12x12 cm.
 - วัสดุกระดาษอาร์ตการ์ด 300 แกรมพิมพ์ 4/0 สี จำนวน 1 ด้าน
 - ไดคัทตามแบบ ติดด้านพลาสติกใส</t>
  </si>
  <si>
    <t>1,001-3,000</t>
  </si>
  <si>
    <t>3,000-5,000</t>
  </si>
  <si>
    <t>Wobbler 15x15 cm.
 - วัสดุกระดาษอาร์ตการ์ด 300 แกรมพิมพ์ 4/0 สี จำนวน 1 ด้าน
 - ไดคัทตามแบบ ติดด้านพลาสติกใส</t>
  </si>
  <si>
    <t>10,001-15,000</t>
  </si>
  <si>
    <t>GVData</t>
  </si>
  <si>
    <t>ew0KICAiZG9jSUQiOiAiZDY3YTU0NGItYjM0My00ZmIwLTgwM2YtODE0M2RiNjNhNGZkIg0KfQ==</t>
  </si>
  <si>
    <t>GVData0</t>
  </si>
  <si>
    <t>(end)</t>
  </si>
  <si>
    <t>Id</t>
  </si>
  <si>
    <t>เวลาเริ่มต้น</t>
  </si>
  <si>
    <t>เวลาที่เสร็จสมบูรณ์</t>
  </si>
  <si>
    <t>Page 18/18</t>
  </si>
  <si>
    <t>Shelf Talker 8x21 cm.+Diecut 3 cm.</t>
  </si>
  <si>
    <t xml:space="preserve">1-50 </t>
  </si>
  <si>
    <t xml:space="preserve">วัสดุกระดาษอาร์ตการ์ด 300 g พิมพ์ 4 สี  1 ด้าน </t>
  </si>
  <si>
    <t>ไดคัทตามแบบ ติดเทปกาว 2หน้า 1จุด</t>
  </si>
  <si>
    <t xml:space="preserve">Sticker Cool Zone ขนาด 4x300 cm.   </t>
  </si>
  <si>
    <t xml:space="preserve">วัสดุสติกเกอร์พีวีซีขาวเงากาวรีมูฟ พิมพ์ 4/0 จำนวน 1หน้า </t>
  </si>
  <si>
    <t>ตัดสี่เหลี่ยม</t>
  </si>
  <si>
    <t>Price tag  ขนาด A3     </t>
  </si>
  <si>
    <t>1-500</t>
  </si>
  <si>
    <t xml:space="preserve"> - ขนาดดวงละ 9.6x9.6 cm. </t>
  </si>
  <si>
    <t xml:space="preserve"> - วัสดุสติ๊กเกอร์ขาว PVC เคลือบ UV เงา  ไดคัท </t>
  </si>
  <si>
    <t xml:space="preserve"> - ราคาต่อแผ่น</t>
  </si>
  <si>
    <t>2,001ขึ้นไป</t>
  </si>
  <si>
    <t>ป้ายไวนิล  แบบปล่อยชาย</t>
  </si>
  <si>
    <t xml:space="preserve"> ป้ายไวนิล  แบบเจาะตาไก่ ไม่มีเชือก</t>
  </si>
  <si>
    <t>ป้ายไวนิล  แบบเจาะตาไก่ มีเชือก</t>
  </si>
  <si>
    <t>ป้ายไวนิลหลังดำ  แบบปล่อยชาย</t>
  </si>
  <si>
    <t>ป้ายไวนิลหลังดำ  แบบเจาะตาไก่ ไม่มีเชือก</t>
  </si>
  <si>
    <t>ป้ายไวนิลหลังดำ  แบบเจาะตาไก่ มีเชือก</t>
  </si>
  <si>
    <t xml:space="preserve">Wrap Around Top Shelf ขนาด 120x50 cm.  </t>
  </si>
  <si>
    <t xml:space="preserve"> - วัสดุ PP Board 3 mm. พิมพ์ 1 ด้าน</t>
  </si>
  <si>
    <t>11-50</t>
  </si>
  <si>
    <t xml:space="preserve"> - Indoor บน สติ๊กเกอร์ ติดบนแผ่น PP Board 3 mm., พิมพ์ 4 สี </t>
  </si>
  <si>
    <t xml:space="preserve"> - ตัดสี่เหลี่ยม</t>
  </si>
  <si>
    <t>101-1,000</t>
  </si>
  <si>
    <t>1,001-2,000</t>
  </si>
  <si>
    <t>Hand prop A3  ด้าม PVC ไดคัทตามรูป พิมพ์ 4 สี   </t>
  </si>
  <si>
    <t>Hand prop A4  ด้าม PVC ไดคัทตามรูป พิมพ์ 4 สี   </t>
  </si>
  <si>
    <t>78/20</t>
  </si>
  <si>
    <t>ธงปีกนก  ไซด์ S -  วัสดุ (Matt fabric) 
- โครงไฟเบอร์ สูง 256 cm.</t>
  </si>
  <si>
    <t>ขนาดงานพิมพ์ 66 cm.*206 cm.</t>
  </si>
  <si>
    <t>2260/10</t>
  </si>
  <si>
    <t>พิมพ์ 1 หน้า</t>
  </si>
  <si>
    <t>21-30</t>
  </si>
  <si>
    <t>2160/20</t>
  </si>
  <si>
    <t xml:space="preserve">ธงปีกนก  ไซด์ M - พิมพ์ 1 หน้า
- โครงไฟเบอร์ สูง 296 cm.
</t>
  </si>
  <si>
    <t>3045/1 2845/5</t>
  </si>
  <si>
    <t xml:space="preserve">วัสดุ (Matt fabric) </t>
  </si>
  <si>
    <t>2745/20</t>
  </si>
  <si>
    <t>ขนาดงานพิมพ์ 66 cm.*246 cm.พิมพ์ 1 หน้า</t>
  </si>
  <si>
    <t> 21-30</t>
  </si>
  <si>
    <t>2645/30</t>
  </si>
  <si>
    <t xml:space="preserve">ธงปีกนก  ไซด์ L - พิมพ์ 1 หน้า
- โครงไฟเบอร์ สูง 380 cm.
</t>
  </si>
  <si>
    <t>ขนาดงานพิมพ์ 68 cm.*331 cm. พิมพ์ 1 หน้า</t>
  </si>
  <si>
    <t xml:space="preserve">ธงปีกนก  ไซด์ XL - พิมพ์ 1 หน้า
- โครงไฟเบอร์ สูง 466 cm.
</t>
  </si>
  <si>
    <t>ขนาดงานพิมพ์ 68 cm.x416 cm. พิมพ์ 1 หน้า</t>
  </si>
  <si>
    <t xml:space="preserve">ธงปีกนก  ไซด์ S - พิมพ์ 2 หน้า
 - โครงไฟเบอร์ สูง 256 cm.
</t>
  </si>
  <si>
    <t xml:space="preserve"> - วัสดุ (Matt fabric) </t>
  </si>
  <si>
    <t xml:space="preserve"> - ขนาดงานพิมพ์ 66 cm.*206 cm.พิมพ์ 1 หน้า</t>
  </si>
  <si>
    <t xml:space="preserve">ธงปีกนก  ไซด์ M - พิมพ์ 2 หน้า
- โครงไฟเบอร์ สูง 296 cm.
</t>
  </si>
  <si>
    <t xml:space="preserve">ธงปีกนก  ไซด์ L - พิมพ์ 2 หน้า
- โครงไฟเบอร์ สูง 380 cm.
</t>
  </si>
  <si>
    <t>ขนาดงานพิมพ์ 68 cm.x331 cm. พิมพ์ 1 หน้า</t>
  </si>
  <si>
    <t xml:space="preserve">ธงปีกนก  ไซด์ XL - พิมพ์ 2 หน้า
- โครงไฟเบอร์ สูง 466 cm.
</t>
  </si>
  <si>
    <t>ขนาดงานพิมพ์ 68 cm.*416 cm. พิมพ์ 1 หน้า</t>
  </si>
  <si>
    <t>ฐานน้ำสำหรับธงปีกนก (Beach Flag) สีดำ ขนาด 20 L</t>
  </si>
  <si>
    <t xml:space="preserve">490/599 </t>
  </si>
  <si>
    <t>พิจารณาราคาตามธงปีกนกที่ได้ซัพพลายเออร์นั้นๆ</t>
  </si>
  <si>
    <t>ฐานกากบาทสำหรับธงปีกนก</t>
  </si>
  <si>
    <t>290 /490 / 690</t>
  </si>
  <si>
    <t>น้อยกว่า 500</t>
  </si>
  <si>
    <t>8.30/500</t>
  </si>
  <si>
    <t xml:space="preserve">Riji ขนาด 6x5cm  หนา 0.3 mm. พิมพ์4สี 1 หน้า เคลือบยูวี  Diecut </t>
  </si>
  <si>
    <t>501 - 1,000</t>
  </si>
  <si>
    <t>7.95/1000</t>
  </si>
  <si>
    <t xml:space="preserve">ตามแบบทำปลายมนบน 2 มุม </t>
  </si>
  <si>
    <t> 1,001 - 1,500</t>
  </si>
  <si>
    <t>7.35/1500</t>
  </si>
  <si>
    <t>500 - 1,000</t>
  </si>
  <si>
    <t>สายรัดข้อมือ BIB 25x250 mm วัสดุกระดาษกันน้ำ เขียนไม่ลอก</t>
  </si>
  <si>
    <t>1,001 - 2,000</t>
  </si>
  <si>
    <t>2,001 - 3,000</t>
  </si>
  <si>
    <t xml:space="preserve">shelf stip 4x40 cm อาร์ตการ์ด300g
พิมพ์4สี จำนวน 1หน้า เคลือบ PVC
</t>
  </si>
  <si>
    <t>10/50</t>
  </si>
  <si>
    <t>51 - 99</t>
  </si>
  <si>
    <t>9.3/99</t>
  </si>
  <si>
    <t>100 - 200</t>
  </si>
  <si>
    <t>8.5/200</t>
  </si>
  <si>
    <t>201 - 500</t>
  </si>
  <si>
    <t>8.2/500</t>
  </si>
  <si>
    <t>501 - 1,000</t>
  </si>
  <si>
    <t>7.9/1000</t>
  </si>
  <si>
    <t xml:space="preserve">shelf talker15x15 cm อาร์ตการ์ด300g
พิมพ์4สี จำนวน 1หน้า เคลือบ PVC
</t>
  </si>
  <si>
    <t xml:space="preserve"> 1 - 50</t>
  </si>
  <si>
    <t>5.80/50</t>
  </si>
  <si>
    <t>51 - 99</t>
  </si>
  <si>
    <t>5.20/99</t>
  </si>
  <si>
    <t>100 - 200</t>
  </si>
  <si>
    <t>4.90/200</t>
  </si>
  <si>
    <t>201 - 500</t>
  </si>
  <si>
    <t>4.70/500</t>
  </si>
  <si>
    <t>4.50/1000</t>
  </si>
  <si>
    <t>PP Board 3 มิล ติดสติกเกอร์ PVC ปริ้นธรรมดา  -ตัดสี่เหลี่ยมธรรมดา</t>
  </si>
  <si>
    <t>PP Board 3 มิล ติดสติกเกอร์ PVC ปริ้นกัน UV  -ตัดสี่เหลี่ยมธรรมดา</t>
  </si>
  <si>
    <t>PP Board 3 มิล ติดสติกเกอร์ PVC ปริ้นธรรมดา -ไดคัทตามแบบ</t>
  </si>
  <si>
    <t>PP Board 3 มิล ติดสติกเกอร์ PVC ปริ้นกัน UV  -ไดคัทตามแบบ</t>
  </si>
  <si>
    <t>PP Board 4 มิล ติดสติกเกอร์ PVC ปริ้นธรรมดา -ตัดสี่เหลี่ยมธรรมดา</t>
  </si>
  <si>
    <t>PP Board 4 มิล ติดสติกเกอร์ PVC ปริ้นกัน UV  -ตัดสี่เหลี่ยมธรรมดา</t>
  </si>
  <si>
    <t>PP Board 4 มิล ติดสติกเกอร์ PVC ปริ้นธรรมดา -ไดคัทตามแบบ</t>
  </si>
  <si>
    <t>PP Board 4 มิล ติดสติกเกอร์ PVC ปริ้นกัน UV  -ไดคัทตามแบบ</t>
  </si>
  <si>
    <t>PP Board 5 มิล ติดสติกเกอร์ PVC ปริ้นธรรมดา -ตัดสี่เหลี่ยมธรรมดา</t>
  </si>
  <si>
    <t>PP Board 5 มิล ติดสติกเกอร์ PVC ปริ้นกัน UV  -ตัดสี่เหลี่ยมธรรมดา</t>
  </si>
  <si>
    <t>PP Board 5 มิล ติดสติกเกอร์ PVC ปริ้นธรรมดา -ไดคัทตามแบบ</t>
  </si>
  <si>
    <t>PP Board 5 มิล ติดสติกเกอร์ PVC ปริ้นกัน UV  -ไดคัทตามแบบ</t>
  </si>
  <si>
    <t>สติ๊กเกอร์ PVC พิมพ์ละเอียด กัน UV  พิมพ์ 1 สี -ตัดสี่เหลี่ยมธรรมดา</t>
  </si>
  <si>
    <t>สติ๊กเกอร์ PVC พิมพ์ละเอียด กัน UV  พิมพ์ 2 สี -ตัดสี่เหลี่ยมธรรมดา</t>
  </si>
  <si>
    <t>สติ๊กเกอร์ PVC พิมพ์ละเอียด กัน UV  พิมพ์ 3 สี -ตัดสี่เหลี่ยมธรรมดา</t>
  </si>
  <si>
    <t>สติ๊กเกอร์ PVC พิมพ์ละเอียด กัน UV  พิมพ์ 4 สี -ตัดสี่เหลี่ยมธรรมดา</t>
  </si>
  <si>
    <t>สติ๊กเกอร์ PVC พิมพ์ละเอียด กัน UV  พิมพ์ 1 สี -ไดคัทตามแบบ</t>
  </si>
  <si>
    <t>สติ๊กเกอร์ PVC พิมพ์ละเอียด กัน UV  พิมพ์ 2 สี -ไดคัทตามแบบ</t>
  </si>
  <si>
    <t>สติ๊กเกอร์ PVC พิมพ์ละเอียด กัน UV  พิมพ์ 3 สี -ไดคัทตามแบบ</t>
  </si>
  <si>
    <t>สติ๊กเกอร์ PVC พิมพ์ละเอียด กัน UV  พิมพ์ 4 สี -ไดคัทตามแบบ</t>
  </si>
  <si>
    <t>สติ๊กเกอร์ใส PVC พิมพ์ละเอียด กัน UV  พิมพ์ 1 สี -ตัดสี่เหลี่ยมธรรมดา</t>
  </si>
  <si>
    <t>สติ๊กเกอร์ใส PVC พิมพ์ละเอียด กัน UV  พิมพ์ 2 สี -ตัดสี่เหลี่ยมธรรมดา</t>
  </si>
  <si>
    <t>สติ๊กเกอร์ใส PVC พิมพ์ละเอียด กัน UV  พิมพ์ 3 สี -ตัดสี่เหลี่ยมธรรมดา</t>
  </si>
  <si>
    <t>สติ๊กเกอร์ใส PVC พิมพ์ละเอียด กัน UV  พิมพ์ 4 สี -ตัดสี่เหลี่ยมธรรมดา</t>
  </si>
  <si>
    <t>สติ๊กเกอร์ใส PVC พิมพ์ละเอียด กัน UV  พิมพ์ 1 สี -ไดคัทตามแบบ</t>
  </si>
  <si>
    <t>สติ๊กเกอร์ใส PVC พิมพ์ละเอียด กัน UV  พิมพ์ 2 สี -ไดคัทตามแบบ</t>
  </si>
  <si>
    <t>สติ๊กเกอร์ใส PVC พิมพ์ละเอียด กัน UV  พิมพ์ 3 สี -ไดคัทตามแบบ</t>
  </si>
  <si>
    <t>สติ๊กเกอร์ใส PVC พิมพ์ละเอียด กัน UV  พิมพ์ 4 สี -ไดคัทตามแบบ</t>
  </si>
  <si>
    <t>ราคาค่าเคลือบลามิเนต</t>
  </si>
  <si>
    <t>พิจารณาราคาตามประเภทสินค้าที่ได้ซัพพลายเออร์นั้นๆ</t>
  </si>
  <si>
    <t>ราคาค่าเคลือบด้าน</t>
  </si>
  <si>
    <t>ราคาค่าเคลือบมัน</t>
  </si>
  <si>
    <t xml:space="preserve">Sticker Remover  8 x 10 cm.
</t>
  </si>
  <si>
    <t>1 - 500</t>
  </si>
  <si>
    <t xml:space="preserve">Sticker PVC กัน UV ขนาดไม่เกิน A4 </t>
  </si>
  <si>
    <t>1 - 100</t>
  </si>
  <si>
    <t>520/ตรม</t>
  </si>
  <si>
    <t>/</t>
  </si>
  <si>
    <t>พิมพ์ 4 สี 1 ด้าน ตัดเหลี่ยม</t>
  </si>
  <si>
    <t>101 - 500</t>
  </si>
  <si>
    <t>1,001 - 1,500</t>
  </si>
  <si>
    <t>1,501 - 2,000</t>
  </si>
  <si>
    <t xml:space="preserve">Sticker PVC กัน UV ขนาดไม่เกิน A5 </t>
  </si>
  <si>
    <t xml:space="preserve">Sticker PVC กัน UV ขนาดไม่เกิน A3 </t>
  </si>
  <si>
    <t>Sale kit A4 กระดาษอาร์ตมัน 230gขนาดA4 พิมพ์ 4สี 1หน้า</t>
  </si>
  <si>
    <t>น้อยกว่า 50</t>
  </si>
  <si>
    <t>51 - 500</t>
  </si>
  <si>
    <t>10/100 9/500</t>
  </si>
  <si>
    <t>Couponขนาด 8x7 cm  (50ใบ/เล่ม)
กระดาษปอนด์ 80g พิมพ์ 2 ด้าน
ด้านหน้า พิมพ์4สี  ด้านหลัง พิมพ์1สี  ติดกาวเข้าเล่ม</t>
  </si>
  <si>
    <t xml:space="preserve"> 51 - 100</t>
  </si>
  <si>
    <t>80.5.</t>
  </si>
  <si>
    <t>101 - 200</t>
  </si>
  <si>
    <t>Couponขนาด 8x7 cm  (100ใบ/เล่ม)
กระดาษปอนด์ 80g พิมพ์ 2 ด้าน
ด้านหน้า พิมพ์4สี  ด้านหลัง พิมพ์1สี  ติดกาวเข้าเล่ม</t>
  </si>
  <si>
    <t>51 - 100</t>
  </si>
  <si>
    <t>Couponขนาด 3*7 นิ้ว หรืv 10.5*7.5 cm  (50ใบ/เล่ม)
กระดาษปอนด์ 80g พิมพ์ 2 ด้าน
ด้านหน้า พิมพ์4สี  ด้านหลัง พิมพ์1สี  ติดกาวเข้าเล่ม</t>
  </si>
  <si>
    <t>Couponขนาด 3*7 นิ้ว หรืv 10.5*7.5 cm  (100ใบ/เล่ม)
กระดาษปอนด์ 80g พิมพ์ 2 ด้าน
ด้านหน้า พิมพ์4สี  ด้านหลัง พิมพ์1สี  ติดกาวเข้าเล่ม</t>
  </si>
  <si>
    <t>หนังสือคู่มือขนาดA4 อาร์ตมัน120g</t>
  </si>
  <si>
    <t xml:space="preserve">ทั้งเล่มละ 20หน้า พิมพ์ 4สี </t>
  </si>
  <si>
    <t>เคลือบลามิเนทเข้าเล่ม มุงหลังคา</t>
  </si>
  <si>
    <t>100 - 500</t>
  </si>
  <si>
    <t xml:space="preserve">Vacuum ขนาด 13x15 cm.
</t>
  </si>
  <si>
    <t>1,000 - 5,000</t>
  </si>
  <si>
    <t>สติ๊กเกอร์PVC ขาวกาวรีมูฟ</t>
  </si>
  <si>
    <t xml:space="preserve"> 5,001 - 8,000</t>
  </si>
  <si>
    <t>Head PM Rack</t>
  </si>
  <si>
    <t>1,000 - 3,000</t>
  </si>
  <si>
    <t>ขนาด 42x23.8 cm. PP Board 3mm  สติ๊กเกอร์ PVC</t>
  </si>
  <si>
    <t xml:space="preserve"> 3,001 - 5,000</t>
  </si>
  <si>
    <t>8,001 - 10,000</t>
  </si>
  <si>
    <t>Hand prop PP board มิล ไดคัท พร้อมด้ามจับท่อ PVC</t>
  </si>
  <si>
    <t>Sticker Cool Zone ขนาด 20x4cm</t>
  </si>
  <si>
    <t>1 - 5,000</t>
  </si>
  <si>
    <t xml:space="preserve">วัสดุสติกเกอร์พีวีซีขาวเงากาวรีมูฟ พิมพ์ </t>
  </si>
  <si>
    <t>5,001 - 10,000</t>
  </si>
  <si>
    <t>4/0 จำนวน 1หน้า ตัดสี่เหลี่ยม</t>
  </si>
  <si>
    <t>10,001 - 15,000</t>
  </si>
  <si>
    <t>15,001 -  20,000</t>
  </si>
  <si>
    <t xml:space="preserve">ประกาศนียบัตรยุวชน A4 การ์ดขาว210g </t>
  </si>
  <si>
    <t>4สี 1ด้าน</t>
  </si>
  <si>
    <t xml:space="preserve"> 201 - 500</t>
  </si>
  <si>
    <t>AD CARD  ขนาด9x13 cm คนละ Aw</t>
  </si>
  <si>
    <t>การ์ดขาว 210 g4สี 1ด้าน</t>
  </si>
  <si>
    <t>สติ๊กเกอร์ PVC วงกลม 3 cm พิมพ์ 4สี</t>
  </si>
  <si>
    <t>60/A3</t>
  </si>
  <si>
    <t>Brand menu รูปใบเรือ  ขนาด 9x18 cm.</t>
  </si>
  <si>
    <t>กระดาษอาร์ตมัน 260 แกรม</t>
  </si>
  <si>
    <t>เคลือมลามิเนตหน้า-หลัง</t>
  </si>
  <si>
    <t>พิมพ์ 4 สี ,ไดคัทตามแบบ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</si>
</sst>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_-* #,##0_-;\-* #,##0_-;_-* &quot;-&quot;??_-;_-@_-"/>
    <numFmt numFmtId="166" formatCode="[$-F400]h:mm:ss\ AM/PM"/>
  </numFmts>
  <fonts count="32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Tahoma"/>
      <family val="2"/>
    </font>
    <font>
      <sz val="10"/>
      <color rgb="FF000000"/>
      <name val="Arial"/>
      <family val="2"/>
    </font>
    <font>
      <b/>
      <sz val="10"/>
      <name val="MS Sans Serif"/>
      <family val="2"/>
    </font>
    <font>
      <sz val="8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  <scheme val="minor"/>
    </font>
    <font>
      <sz val="11"/>
      <color rgb="FF000000"/>
      <name val="Tahoma"/>
      <family val="2"/>
    </font>
    <font>
      <sz val="11"/>
      <color rgb="FFFF0000"/>
      <name val="Tahoma"/>
      <family val="2"/>
    </font>
    <font>
      <sz val="11"/>
      <color rgb="FF000000"/>
      <name val="Arial"/>
      <family val="2"/>
      <charset val="222"/>
      <scheme val="minor"/>
    </font>
    <font>
      <sz val="14"/>
      <color rgb="FF000000"/>
      <name val="Kanit"/>
    </font>
    <font>
      <b/>
      <sz val="14"/>
      <color rgb="FF000000"/>
      <name val="Kanit"/>
    </font>
    <font>
      <sz val="14"/>
      <color rgb="FFFF0000"/>
      <name val="Kanit"/>
    </font>
    <font>
      <b/>
      <sz val="14"/>
      <color rgb="FFFF0000"/>
      <name val="Kanit"/>
    </font>
    <font>
      <b/>
      <sz val="20"/>
      <color rgb="FF000000"/>
      <name val="Kanit"/>
    </font>
    <font>
      <sz val="20"/>
      <color rgb="FF000000"/>
      <name val="Kanit"/>
    </font>
    <font>
      <sz val="20"/>
      <color rgb="FFFF0000"/>
      <name val="Kanit"/>
    </font>
    <font>
      <b/>
      <sz val="20"/>
      <name val="Kanit"/>
    </font>
    <font>
      <sz val="20"/>
      <name val="Kanit"/>
    </font>
    <font>
      <sz val="20"/>
      <color theme="1"/>
      <name val="Kanit"/>
    </font>
    <font>
      <b/>
      <sz val="28"/>
      <color rgb="FF000000"/>
      <name val="Kanit"/>
    </font>
    <font>
      <sz val="11"/>
      <color theme="1"/>
      <name val="Tahoma"/>
      <family val="2"/>
      <charset val="222"/>
    </font>
    <font>
      <b/>
      <sz val="20"/>
      <color theme="1"/>
      <name val="Kanit"/>
    </font>
    <font>
      <b/>
      <sz val="20"/>
      <color rgb="FFFF0000"/>
      <name val="Kanit"/>
    </font>
    <font>
      <b/>
      <sz val="26"/>
      <color rgb="FF000000"/>
      <name val="Kanit"/>
    </font>
    <font>
      <b/>
      <sz val="36"/>
      <color rgb="FF000000"/>
      <name val="Kanit"/>
    </font>
    <font>
      <b/>
      <sz val="26"/>
      <name val="Kanit"/>
    </font>
    <font>
      <b/>
      <sz val="28"/>
      <name val="Kanit"/>
    </font>
    <font>
      <b/>
      <sz val="48"/>
      <color rgb="FF000000"/>
      <name val="Kanit"/>
    </font>
    <font>
      <b/>
      <sz val="48"/>
      <name val="Kanit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1" fillId="0" borderId="0"/>
    <xf numFmtId="0" fontId="8" fillId="0" borderId="0"/>
  </cellStyleXfs>
  <cellXfs count="385">
    <xf numFmtId="0" fontId="0" fillId="0" borderId="0" xfId="0"/>
    <xf numFmtId="0" fontId="9" fillId="0" borderId="0" xfId="8" applyFont="1"/>
    <xf numFmtId="0" fontId="9" fillId="0" borderId="0" xfId="8" applyFont="1" applyAlignment="1">
      <alignment vertical="top"/>
    </xf>
    <xf numFmtId="0" fontId="9" fillId="0" borderId="0" xfId="8" applyFont="1" applyAlignment="1">
      <alignment wrapText="1"/>
    </xf>
    <xf numFmtId="164" fontId="9" fillId="0" borderId="0" xfId="1" applyFont="1"/>
    <xf numFmtId="0" fontId="10" fillId="0" borderId="0" xfId="8" applyFont="1" applyAlignment="1">
      <alignment horizontal="center" vertical="center"/>
    </xf>
    <xf numFmtId="0" fontId="11" fillId="0" borderId="1" xfId="8" applyFont="1" applyBorder="1" applyAlignment="1">
      <alignment vertical="top" wrapText="1"/>
    </xf>
    <xf numFmtId="0" fontId="12" fillId="0" borderId="0" xfId="8" applyFont="1"/>
    <xf numFmtId="0" fontId="13" fillId="0" borderId="0" xfId="8" applyFont="1" applyAlignment="1">
      <alignment horizontal="center" vertical="top"/>
    </xf>
    <xf numFmtId="0" fontId="12" fillId="0" borderId="0" xfId="8" applyFont="1" applyAlignment="1">
      <alignment vertical="top"/>
    </xf>
    <xf numFmtId="0" fontId="12" fillId="0" borderId="0" xfId="8" applyFont="1" applyAlignment="1">
      <alignment wrapText="1"/>
    </xf>
    <xf numFmtId="164" fontId="12" fillId="0" borderId="0" xfId="8" applyNumberFormat="1" applyFont="1"/>
    <xf numFmtId="0" fontId="14" fillId="0" borderId="0" xfId="8" applyFont="1" applyAlignment="1">
      <alignment vertical="top"/>
    </xf>
    <xf numFmtId="164" fontId="15" fillId="2" borderId="0" xfId="8" applyNumberFormat="1" applyFont="1" applyFill="1" applyAlignment="1">
      <alignment vertical="top"/>
    </xf>
    <xf numFmtId="0" fontId="12" fillId="0" borderId="0" xfId="8" applyFont="1" applyAlignment="1">
      <alignment horizontal="center"/>
    </xf>
    <xf numFmtId="164" fontId="20" fillId="0" borderId="1" xfId="1" applyFont="1" applyBorder="1" applyAlignment="1">
      <alignment vertical="top" wrapText="1"/>
    </xf>
    <xf numFmtId="164" fontId="20" fillId="0" borderId="1" xfId="1" applyFont="1" applyBorder="1" applyAlignment="1">
      <alignment horizontal="left" vertical="top" wrapText="1"/>
    </xf>
    <xf numFmtId="164" fontId="17" fillId="7" borderId="1" xfId="1" applyFont="1" applyFill="1" applyBorder="1" applyAlignment="1">
      <alignment vertical="top"/>
    </xf>
    <xf numFmtId="164" fontId="17" fillId="0" borderId="1" xfId="1" applyFont="1" applyBorder="1" applyAlignment="1">
      <alignment vertical="top"/>
    </xf>
    <xf numFmtId="0" fontId="17" fillId="0" borderId="1" xfId="8" applyFont="1" applyBorder="1" applyAlignment="1">
      <alignment horizontal="left" vertical="center"/>
    </xf>
    <xf numFmtId="164" fontId="17" fillId="0" borderId="1" xfId="1" applyFont="1" applyBorder="1" applyAlignment="1">
      <alignment horizontal="center" vertical="top"/>
    </xf>
    <xf numFmtId="0" fontId="13" fillId="0" borderId="0" xfId="8" applyFont="1" applyAlignment="1">
      <alignment horizontal="center"/>
    </xf>
    <xf numFmtId="0" fontId="17" fillId="6" borderId="0" xfId="8" applyFont="1" applyFill="1" applyAlignment="1">
      <alignment vertical="top"/>
    </xf>
    <xf numFmtId="17" fontId="22" fillId="6" borderId="0" xfId="8" quotePrefix="1" applyNumberFormat="1" applyFont="1" applyFill="1" applyAlignment="1">
      <alignment horizontal="center" vertical="top"/>
    </xf>
    <xf numFmtId="0" fontId="12" fillId="6" borderId="0" xfId="8" applyFont="1" applyFill="1"/>
    <xf numFmtId="164" fontId="18" fillId="7" borderId="1" xfId="1" applyFont="1" applyFill="1" applyBorder="1" applyAlignment="1">
      <alignment vertical="center"/>
    </xf>
    <xf numFmtId="0" fontId="17" fillId="0" borderId="1" xfId="8" applyFont="1" applyBorder="1" applyAlignment="1">
      <alignment vertical="center"/>
    </xf>
    <xf numFmtId="0" fontId="17" fillId="2" borderId="1" xfId="8" applyFont="1" applyFill="1" applyBorder="1" applyAlignment="1">
      <alignment vertical="center"/>
    </xf>
    <xf numFmtId="165" fontId="17" fillId="0" borderId="1" xfId="1" applyNumberFormat="1" applyFont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3" fontId="17" fillId="0" borderId="1" xfId="8" applyNumberFormat="1" applyFont="1" applyBorder="1" applyAlignment="1">
      <alignment vertical="center"/>
    </xf>
    <xf numFmtId="164" fontId="17" fillId="2" borderId="1" xfId="1" applyFont="1" applyFill="1" applyBorder="1" applyAlignment="1">
      <alignment vertical="center"/>
    </xf>
    <xf numFmtId="0" fontId="17" fillId="0" borderId="1" xfId="8" applyFont="1" applyBorder="1" applyAlignment="1">
      <alignment horizontal="left" vertical="center" wrapText="1"/>
    </xf>
    <xf numFmtId="0" fontId="20" fillId="3" borderId="1" xfId="8" applyFont="1" applyFill="1" applyBorder="1" applyAlignment="1">
      <alignment horizontal="left" vertical="center" wrapText="1"/>
    </xf>
    <xf numFmtId="165" fontId="21" fillId="0" borderId="1" xfId="1" applyNumberFormat="1" applyFont="1" applyFill="1" applyBorder="1" applyAlignment="1">
      <alignment horizontal="right" wrapText="1"/>
    </xf>
    <xf numFmtId="165" fontId="21" fillId="6" borderId="1" xfId="1" applyNumberFormat="1" applyFont="1" applyFill="1" applyBorder="1" applyAlignment="1">
      <alignment horizontal="right" wrapText="1"/>
    </xf>
    <xf numFmtId="164" fontId="14" fillId="0" borderId="0" xfId="1" applyFont="1" applyFill="1" applyAlignment="1">
      <alignment horizontal="right"/>
    </xf>
    <xf numFmtId="0" fontId="20" fillId="0" borderId="1" xfId="8" applyFont="1" applyBorder="1" applyAlignment="1">
      <alignment horizontal="left" vertical="center"/>
    </xf>
    <xf numFmtId="165" fontId="21" fillId="0" borderId="6" xfId="1" applyNumberFormat="1" applyFont="1" applyFill="1" applyBorder="1" applyAlignment="1">
      <alignment horizontal="right" wrapText="1"/>
    </xf>
    <xf numFmtId="0" fontId="20" fillId="0" borderId="4" xfId="8" applyFont="1" applyBorder="1" applyAlignment="1">
      <alignment horizontal="left" vertical="center"/>
    </xf>
    <xf numFmtId="0" fontId="17" fillId="0" borderId="4" xfId="8" applyFont="1" applyBorder="1" applyAlignment="1">
      <alignment horizontal="left" vertical="center" wrapText="1"/>
    </xf>
    <xf numFmtId="0" fontId="20" fillId="0" borderId="5" xfId="8" applyFont="1" applyBorder="1" applyAlignment="1">
      <alignment horizontal="left" vertical="center"/>
    </xf>
    <xf numFmtId="0" fontId="17" fillId="0" borderId="5" xfId="8" applyFont="1" applyBorder="1" applyAlignment="1">
      <alignment horizontal="left" vertical="center" wrapText="1"/>
    </xf>
    <xf numFmtId="165" fontId="21" fillId="0" borderId="6" xfId="1" applyNumberFormat="1" applyFont="1" applyBorder="1" applyAlignment="1">
      <alignment horizontal="right" wrapText="1"/>
    </xf>
    <xf numFmtId="0" fontId="17" fillId="0" borderId="3" xfId="8" applyFont="1" applyBorder="1" applyAlignment="1">
      <alignment horizontal="left" vertical="center" wrapText="1"/>
    </xf>
    <xf numFmtId="0" fontId="20" fillId="0" borderId="3" xfId="8" applyFont="1" applyBorder="1" applyAlignment="1">
      <alignment horizontal="left" vertical="center"/>
    </xf>
    <xf numFmtId="0" fontId="20" fillId="3" borderId="3" xfId="8" applyFont="1" applyFill="1" applyBorder="1" applyAlignment="1">
      <alignment horizontal="left" vertical="center" wrapText="1"/>
    </xf>
    <xf numFmtId="0" fontId="17" fillId="0" borderId="4" xfId="8" applyFont="1" applyBorder="1" applyAlignment="1">
      <alignment horizontal="left" vertical="center"/>
    </xf>
    <xf numFmtId="0" fontId="20" fillId="3" borderId="5" xfId="8" applyFont="1" applyFill="1" applyBorder="1" applyAlignment="1">
      <alignment horizontal="left" vertical="center" wrapText="1"/>
    </xf>
    <xf numFmtId="0" fontId="17" fillId="0" borderId="3" xfId="8" applyFont="1" applyBorder="1" applyAlignment="1">
      <alignment horizontal="left" vertical="center"/>
    </xf>
    <xf numFmtId="0" fontId="17" fillId="0" borderId="5" xfId="8" applyFont="1" applyBorder="1" applyAlignment="1">
      <alignment horizontal="left" vertical="center"/>
    </xf>
    <xf numFmtId="0" fontId="9" fillId="6" borderId="0" xfId="8" applyFont="1" applyFill="1"/>
    <xf numFmtId="0" fontId="20" fillId="6" borderId="0" xfId="8" applyFont="1" applyFill="1" applyAlignment="1">
      <alignment horizontal="left" vertical="center"/>
    </xf>
    <xf numFmtId="0" fontId="19" fillId="0" borderId="1" xfId="8" applyFont="1" applyBorder="1" applyAlignment="1">
      <alignment horizontal="center" textRotation="90" wrapText="1"/>
    </xf>
    <xf numFmtId="0" fontId="19" fillId="0" borderId="1" xfId="8" applyFont="1" applyBorder="1" applyAlignment="1">
      <alignment horizontal="center" vertical="center" wrapText="1"/>
    </xf>
    <xf numFmtId="0" fontId="19" fillId="0" borderId="1" xfId="1" applyNumberFormat="1" applyFont="1" applyFill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/>
    </xf>
    <xf numFmtId="0" fontId="19" fillId="0" borderId="5" xfId="8" applyFont="1" applyBorder="1" applyAlignment="1">
      <alignment horizontal="center" vertical="center" wrapText="1"/>
    </xf>
    <xf numFmtId="164" fontId="17" fillId="0" borderId="1" xfId="1" applyFont="1" applyFill="1" applyBorder="1" applyAlignment="1">
      <alignment vertical="top"/>
    </xf>
    <xf numFmtId="165" fontId="17" fillId="0" borderId="1" xfId="1" applyNumberFormat="1" applyFont="1" applyFill="1" applyBorder="1" applyAlignment="1">
      <alignment vertical="center"/>
    </xf>
    <xf numFmtId="0" fontId="2" fillId="0" borderId="0" xfId="8" applyFont="1" applyAlignment="1">
      <alignment horizontal="center" textRotation="90"/>
    </xf>
    <xf numFmtId="164" fontId="19" fillId="0" borderId="1" xfId="1" applyFont="1" applyFill="1" applyBorder="1" applyAlignment="1">
      <alignment horizontal="center" vertical="center" wrapText="1"/>
    </xf>
    <xf numFmtId="165" fontId="17" fillId="0" borderId="1" xfId="1" applyNumberFormat="1" applyFont="1" applyFill="1" applyBorder="1" applyAlignment="1">
      <alignment vertical="top"/>
    </xf>
    <xf numFmtId="0" fontId="17" fillId="8" borderId="1" xfId="8" applyFont="1" applyFill="1" applyBorder="1" applyAlignment="1">
      <alignment vertical="center"/>
    </xf>
    <xf numFmtId="0" fontId="23" fillId="0" borderId="0" xfId="8" applyFont="1"/>
    <xf numFmtId="164" fontId="21" fillId="0" borderId="1" xfId="1" applyFont="1" applyFill="1" applyBorder="1" applyAlignment="1">
      <alignment vertical="center"/>
    </xf>
    <xf numFmtId="164" fontId="21" fillId="2" borderId="1" xfId="1" applyFont="1" applyFill="1" applyBorder="1" applyAlignment="1">
      <alignment vertical="center"/>
    </xf>
    <xf numFmtId="164" fontId="21" fillId="0" borderId="1" xfId="1" applyFont="1" applyFill="1" applyBorder="1" applyAlignment="1">
      <alignment vertical="center" wrapText="1"/>
    </xf>
    <xf numFmtId="164" fontId="18" fillId="7" borderId="1" xfId="1" applyFont="1" applyFill="1" applyBorder="1" applyAlignment="1">
      <alignment horizontal="left" vertical="center"/>
    </xf>
    <xf numFmtId="0" fontId="16" fillId="6" borderId="0" xfId="8" applyFont="1" applyFill="1" applyAlignment="1">
      <alignment vertical="center" wrapText="1"/>
    </xf>
    <xf numFmtId="0" fontId="20" fillId="0" borderId="0" xfId="3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center" vertical="top" wrapText="1"/>
    </xf>
    <xf numFmtId="0" fontId="19" fillId="0" borderId="0" xfId="3" applyFont="1" applyAlignment="1">
      <alignment vertical="top" wrapText="1"/>
    </xf>
    <xf numFmtId="0" fontId="20" fillId="0" borderId="0" xfId="3" applyFont="1" applyAlignment="1">
      <alignment vertical="top"/>
    </xf>
    <xf numFmtId="1" fontId="20" fillId="0" borderId="5" xfId="3" applyNumberFormat="1" applyFont="1" applyBorder="1" applyAlignment="1">
      <alignment horizontal="center" vertical="top"/>
    </xf>
    <xf numFmtId="0" fontId="17" fillId="0" borderId="1" xfId="0" applyFont="1" applyBorder="1"/>
    <xf numFmtId="1" fontId="20" fillId="0" borderId="3" xfId="3" applyNumberFormat="1" applyFont="1" applyBorder="1" applyAlignment="1">
      <alignment horizontal="center" vertical="top"/>
    </xf>
    <xf numFmtId="1" fontId="20" fillId="0" borderId="5" xfId="3" applyNumberFormat="1" applyFont="1" applyBorder="1" applyAlignment="1">
      <alignment horizontal="center" vertical="center"/>
    </xf>
    <xf numFmtId="1" fontId="20" fillId="0" borderId="3" xfId="3" applyNumberFormat="1" applyFont="1" applyBorder="1" applyAlignment="1">
      <alignment horizontal="center" vertical="center"/>
    </xf>
    <xf numFmtId="0" fontId="20" fillId="0" borderId="14" xfId="3" applyFont="1" applyBorder="1" applyAlignment="1">
      <alignment horizontal="left" vertical="top" wrapText="1"/>
    </xf>
    <xf numFmtId="1" fontId="20" fillId="0" borderId="7" xfId="3" applyNumberFormat="1" applyFont="1" applyBorder="1" applyAlignment="1">
      <alignment horizontal="center" vertical="top"/>
    </xf>
    <xf numFmtId="1" fontId="20" fillId="0" borderId="2" xfId="3" applyNumberFormat="1" applyFont="1" applyBorder="1" applyAlignment="1">
      <alignment horizontal="center" vertical="top"/>
    </xf>
    <xf numFmtId="0" fontId="20" fillId="0" borderId="2" xfId="3" applyFont="1" applyBorder="1" applyAlignment="1">
      <alignment horizontal="left" vertical="top" wrapText="1"/>
    </xf>
    <xf numFmtId="1" fontId="20" fillId="0" borderId="13" xfId="3" applyNumberFormat="1" applyFont="1" applyBorder="1" applyAlignment="1">
      <alignment horizontal="center" vertical="top"/>
    </xf>
    <xf numFmtId="0" fontId="20" fillId="0" borderId="13" xfId="3" applyFont="1" applyBorder="1" applyAlignment="1">
      <alignment horizontal="left" vertical="top" wrapText="1"/>
    </xf>
    <xf numFmtId="1" fontId="20" fillId="0" borderId="1" xfId="3" applyNumberFormat="1" applyFont="1" applyBorder="1" applyAlignment="1">
      <alignment horizontal="center"/>
    </xf>
    <xf numFmtId="0" fontId="17" fillId="0" borderId="8" xfId="3" applyFont="1" applyBorder="1" applyAlignment="1">
      <alignment horizontal="left" wrapText="1"/>
    </xf>
    <xf numFmtId="164" fontId="18" fillId="7" borderId="1" xfId="1" applyFont="1" applyFill="1" applyBorder="1"/>
    <xf numFmtId="0" fontId="17" fillId="0" borderId="8" xfId="0" applyFont="1" applyBorder="1"/>
    <xf numFmtId="1" fontId="20" fillId="0" borderId="0" xfId="3" applyNumberFormat="1" applyFont="1" applyAlignment="1">
      <alignment horizontal="center" vertical="top"/>
    </xf>
    <xf numFmtId="0" fontId="17" fillId="0" borderId="0" xfId="0" applyFont="1"/>
    <xf numFmtId="2" fontId="18" fillId="0" borderId="1" xfId="1" applyNumberFormat="1" applyFont="1" applyFill="1" applyBorder="1" applyAlignment="1">
      <alignment horizontal="center" vertical="center"/>
    </xf>
    <xf numFmtId="0" fontId="18" fillId="0" borderId="1" xfId="3" applyFont="1" applyBorder="1" applyAlignment="1">
      <alignment horizontal="center" vertical="top"/>
    </xf>
    <xf numFmtId="0" fontId="17" fillId="2" borderId="1" xfId="0" applyFont="1" applyFill="1" applyBorder="1"/>
    <xf numFmtId="0" fontId="19" fillId="6" borderId="1" xfId="8" applyFont="1" applyFill="1" applyBorder="1" applyAlignment="1">
      <alignment horizontal="center" textRotation="90" wrapText="1"/>
    </xf>
    <xf numFmtId="0" fontId="16" fillId="0" borderId="0" xfId="8" applyFont="1" applyAlignment="1">
      <alignment horizontal="center" vertical="top"/>
    </xf>
    <xf numFmtId="0" fontId="18" fillId="0" borderId="0" xfId="8" applyFont="1"/>
    <xf numFmtId="1" fontId="20" fillId="0" borderId="1" xfId="8" applyNumberFormat="1" applyFont="1" applyBorder="1" applyAlignment="1">
      <alignment horizontal="left" vertical="top"/>
    </xf>
    <xf numFmtId="0" fontId="20" fillId="0" borderId="1" xfId="8" applyFont="1" applyBorder="1" applyAlignment="1">
      <alignment vertical="top"/>
    </xf>
    <xf numFmtId="164" fontId="20" fillId="0" borderId="8" xfId="1" applyFont="1" applyFill="1" applyBorder="1" applyAlignment="1">
      <alignment horizontal="center" vertical="center"/>
    </xf>
    <xf numFmtId="164" fontId="20" fillId="0" borderId="1" xfId="1" applyFont="1" applyBorder="1" applyAlignment="1">
      <alignment horizontal="center" vertical="center"/>
    </xf>
    <xf numFmtId="0" fontId="20" fillId="0" borderId="1" xfId="8" applyFont="1" applyBorder="1" applyAlignment="1">
      <alignment horizontal="center" vertical="center"/>
    </xf>
    <xf numFmtId="164" fontId="17" fillId="0" borderId="1" xfId="1" applyFont="1" applyBorder="1" applyAlignment="1">
      <alignment horizontal="center" vertical="center"/>
    </xf>
    <xf numFmtId="164" fontId="17" fillId="2" borderId="1" xfId="1" applyFont="1" applyFill="1" applyBorder="1" applyAlignment="1">
      <alignment horizontal="center" vertical="center"/>
    </xf>
    <xf numFmtId="0" fontId="17" fillId="0" borderId="1" xfId="8" applyFont="1" applyBorder="1" applyAlignment="1">
      <alignment horizontal="center" vertical="center"/>
    </xf>
    <xf numFmtId="0" fontId="17" fillId="0" borderId="1" xfId="8" applyFont="1" applyBorder="1" applyAlignment="1">
      <alignment vertical="top"/>
    </xf>
    <xf numFmtId="164" fontId="17" fillId="0" borderId="8" xfId="1" applyFont="1" applyFill="1" applyBorder="1" applyAlignment="1">
      <alignment horizontal="center" vertical="center"/>
    </xf>
    <xf numFmtId="164" fontId="17" fillId="0" borderId="1" xfId="1" applyFont="1" applyFill="1" applyBorder="1" applyAlignment="1">
      <alignment horizontal="center" vertical="center"/>
    </xf>
    <xf numFmtId="0" fontId="17" fillId="0" borderId="0" xfId="8" applyFont="1"/>
    <xf numFmtId="0" fontId="17" fillId="0" borderId="2" xfId="8" applyFont="1" applyBorder="1" applyAlignment="1">
      <alignment horizontal="left" vertical="top"/>
    </xf>
    <xf numFmtId="0" fontId="20" fillId="0" borderId="1" xfId="7" applyFont="1" applyFill="1" applyBorder="1" applyAlignment="1">
      <alignment horizontal="left" vertical="top" wrapText="1"/>
    </xf>
    <xf numFmtId="164" fontId="20" fillId="0" borderId="8" xfId="4" applyFont="1" applyFill="1" applyBorder="1" applyAlignment="1">
      <alignment horizontal="center" vertical="center"/>
    </xf>
    <xf numFmtId="0" fontId="20" fillId="0" borderId="1" xfId="3" applyFont="1" applyBorder="1" applyAlignment="1">
      <alignment horizontal="left" vertical="top"/>
    </xf>
    <xf numFmtId="0" fontId="21" fillId="0" borderId="1" xfId="3" applyFont="1" applyBorder="1" applyAlignment="1">
      <alignment horizontal="left" vertical="top" wrapText="1"/>
    </xf>
    <xf numFmtId="0" fontId="21" fillId="0" borderId="8" xfId="3" applyFont="1" applyBorder="1" applyAlignment="1">
      <alignment horizontal="center" vertical="center" wrapText="1"/>
    </xf>
    <xf numFmtId="164" fontId="21" fillId="0" borderId="8" xfId="1" applyFont="1" applyBorder="1" applyAlignment="1">
      <alignment horizontal="center" vertical="center" wrapText="1"/>
    </xf>
    <xf numFmtId="0" fontId="17" fillId="0" borderId="0" xfId="3" applyFont="1"/>
    <xf numFmtId="164" fontId="21" fillId="0" borderId="8" xfId="1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left" vertical="top"/>
    </xf>
    <xf numFmtId="0" fontId="20" fillId="0" borderId="3" xfId="3" applyFont="1" applyBorder="1" applyAlignment="1">
      <alignment horizontal="left" vertical="top"/>
    </xf>
    <xf numFmtId="0" fontId="20" fillId="0" borderId="4" xfId="3" applyFont="1" applyBorder="1" applyAlignment="1">
      <alignment horizontal="left" vertical="top"/>
    </xf>
    <xf numFmtId="0" fontId="20" fillId="0" borderId="8" xfId="7" applyFont="1" applyFill="1" applyBorder="1" applyAlignment="1">
      <alignment horizontal="center" vertical="center" wrapText="1"/>
    </xf>
    <xf numFmtId="164" fontId="20" fillId="0" borderId="8" xfId="1" applyFont="1" applyFill="1" applyBorder="1" applyAlignment="1">
      <alignment horizontal="center" vertical="center" wrapText="1"/>
    </xf>
    <xf numFmtId="0" fontId="20" fillId="0" borderId="10" xfId="7" applyFont="1" applyFill="1" applyBorder="1" applyAlignment="1">
      <alignment horizontal="left" vertical="top" wrapText="1"/>
    </xf>
    <xf numFmtId="16" fontId="17" fillId="0" borderId="15" xfId="8" quotePrefix="1" applyNumberFormat="1" applyFont="1" applyBorder="1" applyAlignment="1">
      <alignment horizontal="center" vertical="center" wrapText="1"/>
    </xf>
    <xf numFmtId="164" fontId="17" fillId="0" borderId="8" xfId="1" quotePrefix="1" applyFont="1" applyBorder="1" applyAlignment="1">
      <alignment horizontal="center" vertical="center" wrapText="1"/>
    </xf>
    <xf numFmtId="0" fontId="17" fillId="0" borderId="4" xfId="8" applyFont="1" applyBorder="1" applyAlignment="1">
      <alignment horizontal="left"/>
    </xf>
    <xf numFmtId="0" fontId="17" fillId="0" borderId="9" xfId="8" applyFont="1" applyBorder="1"/>
    <xf numFmtId="16" fontId="17" fillId="0" borderId="14" xfId="8" quotePrefix="1" applyNumberFormat="1" applyFont="1" applyBorder="1" applyAlignment="1">
      <alignment horizontal="center" vertical="center"/>
    </xf>
    <xf numFmtId="164" fontId="17" fillId="0" borderId="14" xfId="1" quotePrefix="1" applyFont="1" applyBorder="1" applyAlignment="1">
      <alignment horizontal="center" vertical="center"/>
    </xf>
    <xf numFmtId="0" fontId="17" fillId="0" borderId="0" xfId="8" applyFont="1" applyAlignment="1">
      <alignment horizontal="center" vertical="center"/>
    </xf>
    <xf numFmtId="0" fontId="17" fillId="0" borderId="0" xfId="8" applyFont="1" applyAlignment="1">
      <alignment horizontal="center"/>
    </xf>
    <xf numFmtId="164" fontId="25" fillId="2" borderId="0" xfId="8" applyNumberFormat="1" applyFont="1" applyFill="1"/>
    <xf numFmtId="0" fontId="17" fillId="0" borderId="0" xfId="8" applyFont="1" applyAlignment="1">
      <alignment wrapText="1"/>
    </xf>
    <xf numFmtId="0" fontId="17" fillId="0" borderId="0" xfId="8" applyFont="1" applyAlignment="1">
      <alignment horizontal="center" wrapText="1"/>
    </xf>
    <xf numFmtId="0" fontId="17" fillId="0" borderId="0" xfId="8" applyFont="1" applyAlignment="1">
      <alignment horizontal="left" vertical="center"/>
    </xf>
    <xf numFmtId="0" fontId="21" fillId="0" borderId="0" xfId="9" applyFont="1"/>
    <xf numFmtId="0" fontId="21" fillId="0" borderId="1" xfId="9" applyFont="1" applyBorder="1"/>
    <xf numFmtId="0" fontId="24" fillId="0" borderId="0" xfId="9" applyFont="1"/>
    <xf numFmtId="165" fontId="20" fillId="0" borderId="1" xfId="4" quotePrefix="1" applyNumberFormat="1" applyFont="1" applyFill="1" applyBorder="1" applyAlignment="1">
      <alignment horizontal="right" vertical="top"/>
    </xf>
    <xf numFmtId="0" fontId="21" fillId="2" borderId="1" xfId="9" applyFont="1" applyFill="1" applyBorder="1"/>
    <xf numFmtId="165" fontId="20" fillId="0" borderId="1" xfId="4" quotePrefix="1" applyNumberFormat="1" applyFont="1" applyFill="1" applyBorder="1" applyAlignment="1">
      <alignment horizontal="right" vertical="top" wrapText="1"/>
    </xf>
    <xf numFmtId="1" fontId="20" fillId="0" borderId="5" xfId="6" applyNumberFormat="1" applyFont="1" applyBorder="1" applyAlignment="1">
      <alignment horizontal="center" vertical="top" wrapText="1"/>
    </xf>
    <xf numFmtId="1" fontId="20" fillId="0" borderId="5" xfId="3" applyNumberFormat="1" applyFont="1" applyBorder="1" applyAlignment="1">
      <alignment horizontal="center" vertical="top" wrapText="1"/>
    </xf>
    <xf numFmtId="2" fontId="21" fillId="2" borderId="1" xfId="9" applyNumberFormat="1" applyFont="1" applyFill="1" applyBorder="1"/>
    <xf numFmtId="1" fontId="20" fillId="0" borderId="4" xfId="3" applyNumberFormat="1" applyFont="1" applyBorder="1" applyAlignment="1">
      <alignment horizontal="center" vertical="top"/>
    </xf>
    <xf numFmtId="0" fontId="21" fillId="5" borderId="1" xfId="9" applyFont="1" applyFill="1" applyBorder="1"/>
    <xf numFmtId="1" fontId="20" fillId="0" borderId="3" xfId="3" applyNumberFormat="1" applyFont="1" applyBorder="1" applyAlignment="1">
      <alignment horizontal="center" vertical="top" wrapText="1"/>
    </xf>
    <xf numFmtId="165" fontId="20" fillId="0" borderId="1" xfId="4" applyNumberFormat="1" applyFont="1" applyFill="1" applyBorder="1" applyAlignment="1">
      <alignment horizontal="right" vertical="top"/>
    </xf>
    <xf numFmtId="1" fontId="20" fillId="0" borderId="7" xfId="3" applyNumberFormat="1" applyFont="1" applyBorder="1" applyAlignment="1">
      <alignment horizontal="center" vertical="top" wrapText="1"/>
    </xf>
    <xf numFmtId="0" fontId="20" fillId="0" borderId="5" xfId="6" applyFont="1" applyBorder="1" applyAlignment="1">
      <alignment vertical="top" wrapText="1"/>
    </xf>
    <xf numFmtId="1" fontId="20" fillId="0" borderId="2" xfId="3" applyNumberFormat="1" applyFont="1" applyBorder="1" applyAlignment="1">
      <alignment horizontal="center" vertical="top" wrapText="1"/>
    </xf>
    <xf numFmtId="0" fontId="20" fillId="0" borderId="3" xfId="6" applyFont="1" applyBorder="1" applyAlignment="1">
      <alignment vertical="top" wrapText="1"/>
    </xf>
    <xf numFmtId="0" fontId="20" fillId="0" borderId="4" xfId="6" applyFont="1" applyBorder="1" applyAlignment="1">
      <alignment vertical="top" wrapText="1"/>
    </xf>
    <xf numFmtId="0" fontId="20" fillId="0" borderId="5" xfId="3" applyFont="1" applyBorder="1" applyAlignment="1">
      <alignment horizontal="left" vertical="top" wrapText="1"/>
    </xf>
    <xf numFmtId="0" fontId="21" fillId="0" borderId="10" xfId="9" applyFont="1" applyBorder="1"/>
    <xf numFmtId="0" fontId="21" fillId="0" borderId="5" xfId="9" applyFont="1" applyBorder="1"/>
    <xf numFmtId="165" fontId="20" fillId="0" borderId="5" xfId="4" quotePrefix="1" applyNumberFormat="1" applyFont="1" applyFill="1" applyBorder="1" applyAlignment="1">
      <alignment horizontal="right" vertical="top"/>
    </xf>
    <xf numFmtId="0" fontId="21" fillId="2" borderId="5" xfId="9" applyFont="1" applyFill="1" applyBorder="1"/>
    <xf numFmtId="0" fontId="20" fillId="0" borderId="2" xfId="3" applyFont="1" applyBorder="1" applyAlignment="1">
      <alignment vertical="top" wrapText="1"/>
    </xf>
    <xf numFmtId="0" fontId="21" fillId="0" borderId="4" xfId="9" applyFont="1" applyBorder="1"/>
    <xf numFmtId="0" fontId="21" fillId="2" borderId="4" xfId="9" applyFont="1" applyFill="1" applyBorder="1"/>
    <xf numFmtId="0" fontId="20" fillId="0" borderId="5" xfId="3" applyFont="1" applyBorder="1" applyAlignment="1">
      <alignment vertical="top" wrapText="1"/>
    </xf>
    <xf numFmtId="0" fontId="20" fillId="0" borderId="3" xfId="3" applyFont="1" applyBorder="1" applyAlignment="1">
      <alignment vertical="top" wrapText="1"/>
    </xf>
    <xf numFmtId="0" fontId="20" fillId="0" borderId="4" xfId="3" applyFont="1" applyBorder="1" applyAlignment="1">
      <alignment vertical="top" wrapText="1"/>
    </xf>
    <xf numFmtId="1" fontId="20" fillId="0" borderId="7" xfId="6" applyNumberFormat="1" applyFont="1" applyBorder="1" applyAlignment="1">
      <alignment horizontal="center" vertical="top" wrapText="1"/>
    </xf>
    <xf numFmtId="0" fontId="20" fillId="0" borderId="3" xfId="6" applyFont="1" applyBorder="1" applyAlignment="1">
      <alignment horizontal="left" vertical="top" wrapText="1"/>
    </xf>
    <xf numFmtId="0" fontId="17" fillId="0" borderId="3" xfId="3" applyFont="1" applyBorder="1" applyAlignment="1">
      <alignment vertical="top" wrapText="1"/>
    </xf>
    <xf numFmtId="17" fontId="20" fillId="0" borderId="1" xfId="3" quotePrefix="1" applyNumberFormat="1" applyFont="1" applyBorder="1" applyAlignment="1">
      <alignment horizontal="right" vertical="top"/>
    </xf>
    <xf numFmtId="0" fontId="20" fillId="0" borderId="1" xfId="3" quotePrefix="1" applyFont="1" applyBorder="1" applyAlignment="1">
      <alignment horizontal="right" vertical="top"/>
    </xf>
    <xf numFmtId="164" fontId="20" fillId="0" borderId="1" xfId="4" quotePrefix="1" applyFont="1" applyFill="1" applyBorder="1" applyAlignment="1">
      <alignment horizontal="right" vertical="top"/>
    </xf>
    <xf numFmtId="164" fontId="20" fillId="0" borderId="1" xfId="4" applyFont="1" applyFill="1" applyBorder="1" applyAlignment="1">
      <alignment horizontal="right" vertical="top"/>
    </xf>
    <xf numFmtId="165" fontId="20" fillId="0" borderId="1" xfId="4" applyNumberFormat="1" applyFont="1" applyFill="1" applyBorder="1" applyAlignment="1">
      <alignment horizontal="right" vertical="top" wrapText="1"/>
    </xf>
    <xf numFmtId="0" fontId="21" fillId="4" borderId="0" xfId="9" applyFont="1" applyFill="1"/>
    <xf numFmtId="0" fontId="24" fillId="0" borderId="1" xfId="9" applyFont="1" applyBorder="1" applyAlignment="1">
      <alignment horizontal="center" vertical="center"/>
    </xf>
    <xf numFmtId="0" fontId="21" fillId="0" borderId="1" xfId="9" applyFont="1" applyBorder="1" applyAlignment="1">
      <alignment wrapText="1"/>
    </xf>
    <xf numFmtId="0" fontId="24" fillId="0" borderId="1" xfId="9" applyFont="1" applyBorder="1" applyAlignment="1">
      <alignment textRotation="90"/>
    </xf>
    <xf numFmtId="0" fontId="21" fillId="0" borderId="0" xfId="9" applyFont="1" applyAlignment="1">
      <alignment horizontal="left"/>
    </xf>
    <xf numFmtId="164" fontId="21" fillId="0" borderId="0" xfId="1" applyFont="1"/>
    <xf numFmtId="0" fontId="21" fillId="0" borderId="0" xfId="9" applyFont="1" applyAlignment="1">
      <alignment horizontal="right"/>
    </xf>
    <xf numFmtId="166" fontId="21" fillId="0" borderId="0" xfId="9" applyNumberFormat="1" applyFont="1" applyAlignment="1">
      <alignment horizontal="left"/>
    </xf>
    <xf numFmtId="166" fontId="21" fillId="0" borderId="0" xfId="9" applyNumberFormat="1" applyFont="1"/>
    <xf numFmtId="166" fontId="21" fillId="0" borderId="0" xfId="9" applyNumberFormat="1" applyFont="1" applyAlignment="1">
      <alignment horizontal="right"/>
    </xf>
    <xf numFmtId="0" fontId="21" fillId="0" borderId="3" xfId="9" applyFont="1" applyBorder="1" applyAlignment="1">
      <alignment vertical="top" wrapText="1"/>
    </xf>
    <xf numFmtId="0" fontId="21" fillId="0" borderId="3" xfId="9" applyFont="1" applyBorder="1"/>
    <xf numFmtId="0" fontId="21" fillId="0" borderId="11" xfId="9" applyFont="1" applyBorder="1"/>
    <xf numFmtId="0" fontId="21" fillId="0" borderId="1" xfId="9" applyFont="1" applyBorder="1" applyAlignment="1">
      <alignment horizontal="right"/>
    </xf>
    <xf numFmtId="164" fontId="21" fillId="0" borderId="1" xfId="1" applyFont="1" applyBorder="1"/>
    <xf numFmtId="0" fontId="21" fillId="2" borderId="1" xfId="9" applyFont="1" applyFill="1" applyBorder="1" applyAlignment="1">
      <alignment horizontal="right"/>
    </xf>
    <xf numFmtId="0" fontId="21" fillId="5" borderId="1" xfId="9" applyFont="1" applyFill="1" applyBorder="1" applyAlignment="1">
      <alignment horizontal="right"/>
    </xf>
    <xf numFmtId="0" fontId="21" fillId="0" borderId="5" xfId="9" applyFont="1" applyBorder="1" applyAlignment="1">
      <alignment horizontal="left"/>
    </xf>
    <xf numFmtId="0" fontId="21" fillId="0" borderId="3" xfId="9" applyFont="1" applyBorder="1" applyAlignment="1">
      <alignment horizontal="left"/>
    </xf>
    <xf numFmtId="0" fontId="21" fillId="0" borderId="7" xfId="9" applyFont="1" applyBorder="1" applyAlignment="1">
      <alignment horizontal="left"/>
    </xf>
    <xf numFmtId="0" fontId="21" fillId="0" borderId="2" xfId="9" applyFont="1" applyBorder="1" applyAlignment="1">
      <alignment horizontal="left"/>
    </xf>
    <xf numFmtId="1" fontId="20" fillId="0" borderId="7" xfId="3" applyNumberFormat="1" applyFont="1" applyBorder="1" applyAlignment="1">
      <alignment horizontal="left" vertical="top"/>
    </xf>
    <xf numFmtId="0" fontId="20" fillId="0" borderId="7" xfId="3" applyFont="1" applyBorder="1" applyAlignment="1">
      <alignment vertical="top" wrapText="1"/>
    </xf>
    <xf numFmtId="1" fontId="20" fillId="0" borderId="2" xfId="3" applyNumberFormat="1" applyFont="1" applyBorder="1" applyAlignment="1">
      <alignment horizontal="left" vertical="top"/>
    </xf>
    <xf numFmtId="1" fontId="20" fillId="0" borderId="5" xfId="3" applyNumberFormat="1" applyFont="1" applyBorder="1" applyAlignment="1">
      <alignment horizontal="left" vertical="top"/>
    </xf>
    <xf numFmtId="0" fontId="20" fillId="0" borderId="10" xfId="3" applyFont="1" applyBorder="1" applyAlignment="1">
      <alignment vertical="top" wrapText="1"/>
    </xf>
    <xf numFmtId="1" fontId="20" fillId="0" borderId="3" xfId="3" applyNumberFormat="1" applyFont="1" applyBorder="1" applyAlignment="1">
      <alignment horizontal="left" vertical="top"/>
    </xf>
    <xf numFmtId="0" fontId="20" fillId="0" borderId="11" xfId="3" applyFont="1" applyBorder="1" applyAlignment="1">
      <alignment vertical="top" wrapText="1"/>
    </xf>
    <xf numFmtId="0" fontId="20" fillId="0" borderId="9" xfId="3" applyFont="1" applyBorder="1" applyAlignment="1">
      <alignment vertical="top" wrapText="1"/>
    </xf>
    <xf numFmtId="0" fontId="20" fillId="0" borderId="11" xfId="3" applyFont="1" applyBorder="1" applyAlignment="1">
      <alignment vertical="top"/>
    </xf>
    <xf numFmtId="1" fontId="20" fillId="0" borderId="4" xfId="3" applyNumberFormat="1" applyFont="1" applyBorder="1" applyAlignment="1">
      <alignment horizontal="left" vertical="top"/>
    </xf>
    <xf numFmtId="0" fontId="20" fillId="0" borderId="10" xfId="3" applyFont="1" applyBorder="1" applyAlignment="1">
      <alignment vertical="top"/>
    </xf>
    <xf numFmtId="0" fontId="20" fillId="0" borderId="5" xfId="3" applyFont="1" applyBorder="1" applyAlignment="1">
      <alignment vertical="top"/>
    </xf>
    <xf numFmtId="1" fontId="20" fillId="0" borderId="3" xfId="6" applyNumberFormat="1" applyFont="1" applyBorder="1" applyAlignment="1">
      <alignment horizontal="left" vertical="top" wrapText="1"/>
    </xf>
    <xf numFmtId="0" fontId="20" fillId="0" borderId="3" xfId="3" applyFont="1" applyBorder="1" applyAlignment="1">
      <alignment vertical="top"/>
    </xf>
    <xf numFmtId="1" fontId="20" fillId="0" borderId="5" xfId="6" applyNumberFormat="1" applyFont="1" applyBorder="1" applyAlignment="1">
      <alignment horizontal="left" vertical="top" wrapText="1"/>
    </xf>
    <xf numFmtId="0" fontId="20" fillId="0" borderId="2" xfId="3" applyFont="1" applyBorder="1" applyAlignment="1">
      <alignment horizontal="left" vertical="top"/>
    </xf>
    <xf numFmtId="0" fontId="20" fillId="0" borderId="13" xfId="3" applyFont="1" applyBorder="1" applyAlignment="1">
      <alignment horizontal="left" vertical="top"/>
    </xf>
    <xf numFmtId="0" fontId="17" fillId="0" borderId="1" xfId="9" applyFont="1" applyBorder="1" applyAlignment="1">
      <alignment vertical="top" wrapText="1"/>
    </xf>
    <xf numFmtId="0" fontId="17" fillId="0" borderId="1" xfId="9" applyFont="1" applyBorder="1" applyAlignment="1">
      <alignment vertical="top"/>
    </xf>
    <xf numFmtId="0" fontId="20" fillId="0" borderId="7" xfId="3" applyFont="1" applyBorder="1" applyAlignment="1">
      <alignment horizontal="left" vertical="top"/>
    </xf>
    <xf numFmtId="0" fontId="17" fillId="0" borderId="5" xfId="9" applyFont="1" applyBorder="1" applyAlignment="1">
      <alignment vertical="top" wrapText="1"/>
    </xf>
    <xf numFmtId="0" fontId="17" fillId="0" borderId="3" xfId="9" applyFont="1" applyBorder="1" applyAlignment="1">
      <alignment vertical="top" wrapText="1"/>
    </xf>
    <xf numFmtId="0" fontId="17" fillId="0" borderId="4" xfId="9" applyFont="1" applyBorder="1" applyAlignment="1">
      <alignment vertical="top" wrapText="1"/>
    </xf>
    <xf numFmtId="0" fontId="20" fillId="0" borderId="2" xfId="6" applyFont="1" applyBorder="1" applyAlignment="1">
      <alignment vertical="top" wrapText="1"/>
    </xf>
    <xf numFmtId="0" fontId="17" fillId="0" borderId="5" xfId="9" applyFont="1" applyBorder="1" applyAlignment="1">
      <alignment wrapText="1"/>
    </xf>
    <xf numFmtId="1" fontId="20" fillId="0" borderId="13" xfId="3" applyNumberFormat="1" applyFont="1" applyBorder="1" applyAlignment="1">
      <alignment horizontal="left" vertical="top"/>
    </xf>
    <xf numFmtId="0" fontId="20" fillId="0" borderId="1" xfId="3" applyFont="1" applyBorder="1" applyAlignment="1">
      <alignment vertical="top" wrapText="1"/>
    </xf>
    <xf numFmtId="0" fontId="21" fillId="0" borderId="5" xfId="9" applyFont="1" applyBorder="1" applyAlignment="1">
      <alignment vertical="top" wrapText="1"/>
    </xf>
    <xf numFmtId="0" fontId="20" fillId="0" borderId="4" xfId="7" applyFont="1" applyFill="1" applyBorder="1" applyAlignment="1">
      <alignment vertical="center" wrapText="1"/>
    </xf>
    <xf numFmtId="0" fontId="20" fillId="0" borderId="0" xfId="3" applyFont="1" applyAlignment="1">
      <alignment horizontal="left" vertical="top"/>
    </xf>
    <xf numFmtId="0" fontId="20" fillId="0" borderId="0" xfId="7" applyFont="1" applyFill="1" applyBorder="1" applyAlignment="1">
      <alignment vertical="center" wrapText="1"/>
    </xf>
    <xf numFmtId="0" fontId="21" fillId="0" borderId="4" xfId="9" applyFont="1" applyBorder="1" applyAlignment="1">
      <alignment horizontal="left" vertical="center"/>
    </xf>
    <xf numFmtId="2" fontId="18" fillId="0" borderId="5" xfId="1" applyNumberFormat="1" applyFont="1" applyFill="1" applyBorder="1" applyAlignment="1">
      <alignment horizontal="center" vertical="center"/>
    </xf>
    <xf numFmtId="0" fontId="17" fillId="0" borderId="5" xfId="0" applyFont="1" applyBorder="1"/>
    <xf numFmtId="2" fontId="18" fillId="0" borderId="4" xfId="1" applyNumberFormat="1" applyFont="1" applyFill="1" applyBorder="1" applyAlignment="1">
      <alignment horizontal="center" vertical="center"/>
    </xf>
    <xf numFmtId="0" fontId="17" fillId="0" borderId="4" xfId="0" applyFont="1" applyBorder="1"/>
    <xf numFmtId="0" fontId="20" fillId="0" borderId="0" xfId="3" applyFont="1" applyAlignment="1">
      <alignment horizontal="left" vertical="top" wrapText="1"/>
    </xf>
    <xf numFmtId="1" fontId="20" fillId="0" borderId="4" xfId="3" applyNumberFormat="1" applyFont="1" applyBorder="1" applyAlignment="1">
      <alignment horizontal="center" vertical="center"/>
    </xf>
    <xf numFmtId="0" fontId="17" fillId="0" borderId="14" xfId="0" applyFont="1" applyBorder="1"/>
    <xf numFmtId="0" fontId="17" fillId="0" borderId="10" xfId="0" applyFont="1" applyBorder="1"/>
    <xf numFmtId="1" fontId="20" fillId="0" borderId="0" xfId="3" applyNumberFormat="1" applyFont="1" applyAlignment="1">
      <alignment vertical="top"/>
    </xf>
    <xf numFmtId="0" fontId="19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17" fontId="27" fillId="6" borderId="0" xfId="8" quotePrefix="1" applyNumberFormat="1" applyFont="1" applyFill="1" applyAlignment="1">
      <alignment horizontal="center" vertical="top"/>
    </xf>
    <xf numFmtId="164" fontId="18" fillId="7" borderId="5" xfId="1" applyFont="1" applyFill="1" applyBorder="1"/>
    <xf numFmtId="164" fontId="18" fillId="7" borderId="4" xfId="1" applyFont="1" applyFill="1" applyBorder="1"/>
    <xf numFmtId="0" fontId="17" fillId="0" borderId="0" xfId="3" applyFont="1" applyAlignment="1">
      <alignment horizontal="left" vertical="top" wrapText="1"/>
    </xf>
    <xf numFmtId="165" fontId="21" fillId="0" borderId="1" xfId="1" applyNumberFormat="1" applyFont="1" applyFill="1" applyBorder="1" applyAlignment="1">
      <alignment horizontal="center" vertical="center" wrapText="1"/>
    </xf>
    <xf numFmtId="165" fontId="21" fillId="6" borderId="1" xfId="1" applyNumberFormat="1" applyFont="1" applyFill="1" applyBorder="1" applyAlignment="1">
      <alignment horizontal="center" vertical="center" wrapText="1"/>
    </xf>
    <xf numFmtId="165" fontId="21" fillId="0" borderId="1" xfId="1" applyNumberFormat="1" applyFont="1" applyBorder="1" applyAlignment="1">
      <alignment horizontal="center" vertical="center" wrapText="1"/>
    </xf>
    <xf numFmtId="165" fontId="17" fillId="0" borderId="1" xfId="1" applyNumberFormat="1" applyFont="1" applyBorder="1" applyAlignment="1">
      <alignment horizontal="center" vertical="center"/>
    </xf>
    <xf numFmtId="165" fontId="17" fillId="2" borderId="1" xfId="1" applyNumberFormat="1" applyFont="1" applyFill="1" applyBorder="1" applyAlignment="1">
      <alignment horizontal="center" vertical="center"/>
    </xf>
    <xf numFmtId="0" fontId="17" fillId="0" borderId="1" xfId="8" applyFont="1" applyBorder="1" applyAlignment="1">
      <alignment horizontal="right" vertical="center"/>
    </xf>
    <xf numFmtId="0" fontId="17" fillId="2" borderId="1" xfId="8" applyFont="1" applyFill="1" applyBorder="1" applyAlignment="1">
      <alignment horizontal="right" vertical="center"/>
    </xf>
    <xf numFmtId="0" fontId="17" fillId="6" borderId="1" xfId="8" applyFont="1" applyFill="1" applyBorder="1" applyAlignment="1">
      <alignment horizontal="right" vertical="center"/>
    </xf>
    <xf numFmtId="165" fontId="17" fillId="0" borderId="1" xfId="1" applyNumberFormat="1" applyFont="1" applyBorder="1" applyAlignment="1">
      <alignment horizontal="right" vertical="center"/>
    </xf>
    <xf numFmtId="165" fontId="17" fillId="2" borderId="1" xfId="1" applyNumberFormat="1" applyFont="1" applyFill="1" applyBorder="1" applyAlignment="1">
      <alignment horizontal="right" vertical="center"/>
    </xf>
    <xf numFmtId="3" fontId="17" fillId="0" borderId="1" xfId="8" applyNumberFormat="1" applyFont="1" applyBorder="1" applyAlignment="1">
      <alignment horizontal="right" vertical="center"/>
    </xf>
    <xf numFmtId="3" fontId="17" fillId="2" borderId="1" xfId="8" applyNumberFormat="1" applyFont="1" applyFill="1" applyBorder="1" applyAlignment="1">
      <alignment horizontal="right" vertical="center"/>
    </xf>
    <xf numFmtId="17" fontId="27" fillId="6" borderId="0" xfId="8" quotePrefix="1" applyNumberFormat="1" applyFont="1" applyFill="1" applyAlignment="1">
      <alignment horizontal="center" vertical="center"/>
    </xf>
    <xf numFmtId="164" fontId="17" fillId="0" borderId="1" xfId="1" applyFont="1" applyBorder="1" applyAlignment="1">
      <alignment vertical="center"/>
    </xf>
    <xf numFmtId="165" fontId="21" fillId="0" borderId="1" xfId="1" applyNumberFormat="1" applyFont="1" applyFill="1" applyBorder="1" applyAlignment="1">
      <alignment vertical="center"/>
    </xf>
    <xf numFmtId="0" fontId="29" fillId="0" borderId="0" xfId="3" applyFont="1" applyAlignment="1">
      <alignment vertical="top"/>
    </xf>
    <xf numFmtId="0" fontId="22" fillId="6" borderId="0" xfId="0" applyFont="1" applyFill="1" applyAlignment="1">
      <alignment horizontal="center" vertical="top"/>
    </xf>
    <xf numFmtId="0" fontId="29" fillId="6" borderId="0" xfId="3" applyFont="1" applyFill="1" applyAlignment="1">
      <alignment vertical="top"/>
    </xf>
    <xf numFmtId="0" fontId="16" fillId="0" borderId="1" xfId="8" applyFont="1" applyBorder="1" applyAlignment="1">
      <alignment textRotation="90"/>
    </xf>
    <xf numFmtId="0" fontId="16" fillId="0" borderId="1" xfId="8" applyFont="1" applyBorder="1" applyAlignment="1">
      <alignment vertical="center"/>
    </xf>
    <xf numFmtId="0" fontId="16" fillId="0" borderId="1" xfId="8" applyFont="1" applyBorder="1" applyAlignment="1">
      <alignment horizontal="center" vertical="center"/>
    </xf>
    <xf numFmtId="165" fontId="17" fillId="0" borderId="1" xfId="1" applyNumberFormat="1" applyFont="1" applyFill="1" applyBorder="1" applyAlignment="1">
      <alignment horizontal="center" vertical="center"/>
    </xf>
    <xf numFmtId="164" fontId="18" fillId="7" borderId="1" xfId="1" applyFont="1" applyFill="1" applyBorder="1" applyAlignment="1">
      <alignment horizontal="center" vertical="center"/>
    </xf>
    <xf numFmtId="164" fontId="17" fillId="0" borderId="1" xfId="1" applyFont="1" applyFill="1" applyBorder="1" applyAlignment="1">
      <alignment horizontal="right" vertical="center" wrapText="1"/>
    </xf>
    <xf numFmtId="0" fontId="26" fillId="0" borderId="0" xfId="8" applyFont="1" applyAlignment="1">
      <alignment vertical="center"/>
    </xf>
    <xf numFmtId="0" fontId="28" fillId="0" borderId="0" xfId="8" applyFont="1" applyAlignment="1">
      <alignment horizontal="center" vertical="center" wrapText="1"/>
    </xf>
    <xf numFmtId="17" fontId="26" fillId="6" borderId="0" xfId="8" quotePrefix="1" applyNumberFormat="1" applyFont="1" applyFill="1" applyAlignment="1">
      <alignment horizontal="center" vertical="center"/>
    </xf>
    <xf numFmtId="0" fontId="22" fillId="0" borderId="0" xfId="8" applyFont="1" applyAlignment="1">
      <alignment vertical="center"/>
    </xf>
    <xf numFmtId="0" fontId="29" fillId="0" borderId="0" xfId="8" applyFont="1" applyAlignment="1">
      <alignment horizontal="center" vertical="center" wrapText="1"/>
    </xf>
    <xf numFmtId="17" fontId="22" fillId="6" borderId="0" xfId="8" quotePrefix="1" applyNumberFormat="1" applyFont="1" applyFill="1" applyAlignment="1">
      <alignment horizontal="center" vertical="center"/>
    </xf>
    <xf numFmtId="0" fontId="17" fillId="2" borderId="10" xfId="0" applyFont="1" applyFill="1" applyBorder="1"/>
    <xf numFmtId="0" fontId="17" fillId="2" borderId="4" xfId="0" applyFont="1" applyFill="1" applyBorder="1"/>
    <xf numFmtId="164" fontId="22" fillId="0" borderId="0" xfId="1" applyFont="1" applyAlignment="1">
      <alignment vertical="center"/>
    </xf>
    <xf numFmtId="164" fontId="24" fillId="0" borderId="1" xfId="1" applyFont="1" applyBorder="1" applyAlignment="1">
      <alignment vertical="center" wrapText="1"/>
    </xf>
    <xf numFmtId="0" fontId="24" fillId="0" borderId="1" xfId="9" applyFont="1" applyBorder="1" applyAlignment="1">
      <alignment horizontal="center" textRotation="90"/>
    </xf>
    <xf numFmtId="17" fontId="21" fillId="0" borderId="1" xfId="9" quotePrefix="1" applyNumberFormat="1" applyFont="1" applyBorder="1" applyAlignment="1">
      <alignment horizontal="right"/>
    </xf>
    <xf numFmtId="3" fontId="21" fillId="0" borderId="1" xfId="9" applyNumberFormat="1" applyFont="1" applyBorder="1" applyAlignment="1">
      <alignment horizontal="right"/>
    </xf>
    <xf numFmtId="0" fontId="21" fillId="0" borderId="6" xfId="9" applyFont="1" applyBorder="1" applyAlignment="1">
      <alignment horizontal="right"/>
    </xf>
    <xf numFmtId="0" fontId="21" fillId="0" borderId="10" xfId="9" applyFont="1" applyBorder="1" applyAlignment="1">
      <alignment horizontal="right"/>
    </xf>
    <xf numFmtId="0" fontId="21" fillId="0" borderId="9" xfId="9" applyFont="1" applyBorder="1" applyAlignment="1">
      <alignment horizontal="right"/>
    </xf>
    <xf numFmtId="16" fontId="21" fillId="0" borderId="1" xfId="9" quotePrefix="1" applyNumberFormat="1" applyFont="1" applyBorder="1" applyAlignment="1">
      <alignment horizontal="right"/>
    </xf>
    <xf numFmtId="17" fontId="21" fillId="0" borderId="6" xfId="9" quotePrefix="1" applyNumberFormat="1" applyFont="1" applyBorder="1" applyAlignment="1">
      <alignment horizontal="right"/>
    </xf>
    <xf numFmtId="0" fontId="21" fillId="0" borderId="7" xfId="9" applyFont="1" applyBorder="1" applyAlignment="1">
      <alignment vertical="top" wrapText="1"/>
    </xf>
    <xf numFmtId="0" fontId="17" fillId="0" borderId="2" xfId="9" applyFont="1" applyBorder="1" applyAlignment="1">
      <alignment vertical="top" wrapText="1"/>
    </xf>
    <xf numFmtId="0" fontId="21" fillId="0" borderId="2" xfId="9" applyFont="1" applyBorder="1" applyAlignment="1">
      <alignment vertical="top" wrapText="1"/>
    </xf>
    <xf numFmtId="164" fontId="21" fillId="0" borderId="1" xfId="1" applyFont="1" applyBorder="1" applyAlignment="1">
      <alignment horizontal="right"/>
    </xf>
    <xf numFmtId="165" fontId="21" fillId="0" borderId="1" xfId="1" applyNumberFormat="1" applyFont="1" applyBorder="1" applyAlignment="1">
      <alignment horizontal="right"/>
    </xf>
    <xf numFmtId="164" fontId="21" fillId="0" borderId="4" xfId="1" applyFont="1" applyBorder="1"/>
    <xf numFmtId="164" fontId="21" fillId="2" borderId="4" xfId="1" applyFont="1" applyFill="1" applyBorder="1"/>
    <xf numFmtId="164" fontId="21" fillId="0" borderId="4" xfId="1" applyFont="1" applyBorder="1" applyAlignment="1">
      <alignment horizontal="right"/>
    </xf>
    <xf numFmtId="164" fontId="21" fillId="2" borderId="1" xfId="1" applyFont="1" applyFill="1" applyBorder="1"/>
    <xf numFmtId="164" fontId="21" fillId="2" borderId="1" xfId="1" applyFont="1" applyFill="1" applyBorder="1" applyAlignment="1">
      <alignment horizontal="right"/>
    </xf>
    <xf numFmtId="165" fontId="21" fillId="0" borderId="1" xfId="1" applyNumberFormat="1" applyFont="1" applyBorder="1"/>
    <xf numFmtId="164" fontId="21" fillId="0" borderId="5" xfId="1" applyFont="1" applyBorder="1"/>
    <xf numFmtId="164" fontId="21" fillId="0" borderId="3" xfId="1" applyFont="1" applyBorder="1"/>
    <xf numFmtId="165" fontId="21" fillId="0" borderId="4" xfId="1" applyNumberFormat="1" applyFont="1" applyBorder="1"/>
    <xf numFmtId="165" fontId="21" fillId="2" borderId="1" xfId="1" applyNumberFormat="1" applyFont="1" applyFill="1" applyBorder="1"/>
    <xf numFmtId="0" fontId="30" fillId="0" borderId="0" xfId="8" applyFont="1" applyAlignment="1">
      <alignment vertical="center"/>
    </xf>
    <xf numFmtId="0" fontId="31" fillId="0" borderId="0" xfId="8" applyFont="1" applyAlignment="1">
      <alignment horizontal="center" vertical="center" wrapText="1"/>
    </xf>
    <xf numFmtId="164" fontId="30" fillId="0" borderId="0" xfId="1" applyFont="1" applyAlignment="1">
      <alignment vertical="center"/>
    </xf>
    <xf numFmtId="17" fontId="30" fillId="6" borderId="0" xfId="8" quotePrefix="1" applyNumberFormat="1" applyFont="1" applyFill="1" applyAlignment="1">
      <alignment horizontal="center" vertical="center"/>
    </xf>
    <xf numFmtId="164" fontId="24" fillId="0" borderId="1" xfId="1" applyFont="1" applyBorder="1" applyAlignment="1">
      <alignment horizontal="center" vertical="center" wrapText="1"/>
    </xf>
    <xf numFmtId="0" fontId="30" fillId="0" borderId="0" xfId="8" applyFont="1" applyAlignment="1">
      <alignment horizontal="left" vertical="center" wrapText="1"/>
    </xf>
    <xf numFmtId="0" fontId="21" fillId="0" borderId="5" xfId="9" applyFont="1" applyBorder="1" applyAlignment="1">
      <alignment horizontal="center" vertical="center" wrapText="1"/>
    </xf>
    <xf numFmtId="0" fontId="21" fillId="0" borderId="4" xfId="9" applyFont="1" applyBorder="1" applyAlignment="1">
      <alignment horizontal="center" vertical="center" wrapText="1"/>
    </xf>
    <xf numFmtId="0" fontId="21" fillId="0" borderId="5" xfId="9" applyFont="1" applyBorder="1" applyAlignment="1">
      <alignment horizontal="left" vertical="center" wrapText="1"/>
    </xf>
    <xf numFmtId="0" fontId="21" fillId="0" borderId="3" xfId="9" applyFont="1" applyBorder="1" applyAlignment="1">
      <alignment horizontal="left" vertical="center" wrapText="1"/>
    </xf>
    <xf numFmtId="0" fontId="21" fillId="0" borderId="4" xfId="9" applyFont="1" applyBorder="1" applyAlignment="1">
      <alignment horizontal="left" vertical="center" wrapText="1"/>
    </xf>
    <xf numFmtId="0" fontId="20" fillId="0" borderId="2" xfId="3" applyFont="1" applyBorder="1" applyAlignment="1">
      <alignment horizontal="left" vertical="top"/>
    </xf>
    <xf numFmtId="0" fontId="20" fillId="0" borderId="3" xfId="3" applyFont="1" applyBorder="1" applyAlignment="1">
      <alignment horizontal="left" vertical="top" wrapText="1"/>
    </xf>
    <xf numFmtId="0" fontId="21" fillId="0" borderId="3" xfId="9" applyFont="1" applyBorder="1" applyAlignment="1">
      <alignment horizontal="left" vertical="top"/>
    </xf>
    <xf numFmtId="0" fontId="21" fillId="0" borderId="4" xfId="9" applyFont="1" applyBorder="1" applyAlignment="1">
      <alignment horizontal="left" vertical="top"/>
    </xf>
    <xf numFmtId="0" fontId="21" fillId="0" borderId="7" xfId="9" applyFont="1" applyBorder="1" applyAlignment="1">
      <alignment horizontal="left" vertical="top"/>
    </xf>
    <xf numFmtId="0" fontId="21" fillId="0" borderId="2" xfId="9" applyFont="1" applyBorder="1" applyAlignment="1">
      <alignment horizontal="left" vertical="top"/>
    </xf>
    <xf numFmtId="0" fontId="21" fillId="0" borderId="13" xfId="9" applyFont="1" applyBorder="1" applyAlignment="1">
      <alignment horizontal="left" vertical="top"/>
    </xf>
    <xf numFmtId="164" fontId="21" fillId="0" borderId="5" xfId="1" applyFont="1" applyBorder="1" applyAlignment="1">
      <alignment horizontal="left" vertical="top"/>
    </xf>
    <xf numFmtId="164" fontId="21" fillId="0" borderId="3" xfId="1" applyFont="1" applyBorder="1" applyAlignment="1">
      <alignment horizontal="left" vertical="top"/>
    </xf>
    <xf numFmtId="164" fontId="21" fillId="0" borderId="4" xfId="1" applyFont="1" applyBorder="1" applyAlignment="1">
      <alignment horizontal="left" vertical="top"/>
    </xf>
    <xf numFmtId="0" fontId="21" fillId="0" borderId="5" xfId="9" applyFont="1" applyBorder="1" applyAlignment="1">
      <alignment horizontal="left" vertical="top"/>
    </xf>
    <xf numFmtId="0" fontId="20" fillId="0" borderId="13" xfId="3" applyFont="1" applyBorder="1" applyAlignment="1">
      <alignment horizontal="left" vertical="top"/>
    </xf>
    <xf numFmtId="0" fontId="17" fillId="0" borderId="3" xfId="9" applyFont="1" applyBorder="1" applyAlignment="1">
      <alignment horizontal="left" vertical="top" wrapText="1"/>
    </xf>
    <xf numFmtId="0" fontId="17" fillId="0" borderId="4" xfId="9" applyFont="1" applyBorder="1" applyAlignment="1">
      <alignment horizontal="left" vertical="top" wrapText="1"/>
    </xf>
    <xf numFmtId="0" fontId="20" fillId="0" borderId="4" xfId="3" applyFont="1" applyBorder="1" applyAlignment="1">
      <alignment horizontal="left" vertical="top"/>
    </xf>
    <xf numFmtId="0" fontId="20" fillId="0" borderId="1" xfId="3" applyFont="1" applyBorder="1" applyAlignment="1">
      <alignment horizontal="left" vertical="top"/>
    </xf>
    <xf numFmtId="0" fontId="17" fillId="0" borderId="1" xfId="9" applyFont="1" applyBorder="1" applyAlignment="1">
      <alignment horizontal="left" vertical="top" wrapText="1"/>
    </xf>
    <xf numFmtId="0" fontId="20" fillId="0" borderId="5" xfId="3" applyFont="1" applyBorder="1" applyAlignment="1">
      <alignment horizontal="left" vertical="top"/>
    </xf>
    <xf numFmtId="0" fontId="17" fillId="0" borderId="5" xfId="9" applyFont="1" applyBorder="1" applyAlignment="1">
      <alignment horizontal="left" vertical="top" wrapText="1"/>
    </xf>
    <xf numFmtId="0" fontId="20" fillId="0" borderId="1" xfId="3" applyFont="1" applyBorder="1" applyAlignment="1">
      <alignment horizontal="left" vertical="top" wrapText="1"/>
    </xf>
    <xf numFmtId="1" fontId="20" fillId="0" borderId="1" xfId="3" applyNumberFormat="1" applyFont="1" applyBorder="1" applyAlignment="1">
      <alignment horizontal="left" vertical="top"/>
    </xf>
    <xf numFmtId="0" fontId="20" fillId="0" borderId="5" xfId="3" applyFont="1" applyBorder="1" applyAlignment="1">
      <alignment horizontal="left" vertical="top" wrapText="1"/>
    </xf>
    <xf numFmtId="1" fontId="20" fillId="0" borderId="5" xfId="3" applyNumberFormat="1" applyFont="1" applyBorder="1" applyAlignment="1">
      <alignment horizontal="left" vertical="top"/>
    </xf>
    <xf numFmtId="0" fontId="27" fillId="6" borderId="0" xfId="8" applyFont="1" applyFill="1" applyAlignment="1">
      <alignment horizontal="left" vertical="center" wrapText="1"/>
    </xf>
    <xf numFmtId="0" fontId="17" fillId="0" borderId="0" xfId="8" applyFont="1" applyAlignment="1">
      <alignment horizontal="left" vertical="center" wrapText="1"/>
    </xf>
    <xf numFmtId="0" fontId="27" fillId="6" borderId="14" xfId="8" applyFont="1" applyFill="1" applyBorder="1" applyAlignment="1">
      <alignment horizontal="left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0" fillId="0" borderId="0" xfId="3" applyFont="1" applyAlignment="1">
      <alignment horizontal="left" vertical="top" wrapText="1"/>
    </xf>
    <xf numFmtId="0" fontId="20" fillId="0" borderId="12" xfId="3" applyFont="1" applyBorder="1" applyAlignment="1">
      <alignment horizontal="left" vertical="top" wrapText="1"/>
    </xf>
    <xf numFmtId="0" fontId="17" fillId="0" borderId="12" xfId="3" applyFont="1" applyBorder="1" applyAlignment="1">
      <alignment horizontal="left" vertical="top" wrapText="1"/>
    </xf>
    <xf numFmtId="0" fontId="17" fillId="0" borderId="0" xfId="3" applyFont="1" applyAlignment="1">
      <alignment horizontal="left" vertical="top" wrapText="1"/>
    </xf>
    <xf numFmtId="0" fontId="22" fillId="6" borderId="0" xfId="0" applyFont="1" applyFill="1" applyAlignment="1">
      <alignment horizontal="left" vertical="center" wrapText="1"/>
    </xf>
    <xf numFmtId="0" fontId="20" fillId="0" borderId="14" xfId="3" applyFont="1" applyBorder="1" applyAlignment="1">
      <alignment horizontal="left" vertical="top" wrapText="1"/>
    </xf>
    <xf numFmtId="0" fontId="20" fillId="0" borderId="7" xfId="3" applyFont="1" applyBorder="1" applyAlignment="1">
      <alignment horizontal="left" vertical="top" wrapText="1"/>
    </xf>
    <xf numFmtId="0" fontId="20" fillId="0" borderId="2" xfId="3" applyFont="1" applyBorder="1" applyAlignment="1">
      <alignment horizontal="left" vertical="top" wrapText="1"/>
    </xf>
    <xf numFmtId="0" fontId="20" fillId="0" borderId="13" xfId="3" applyFont="1" applyBorder="1" applyAlignment="1">
      <alignment horizontal="left" vertical="top" wrapText="1"/>
    </xf>
    <xf numFmtId="0" fontId="20" fillId="0" borderId="3" xfId="3" applyFont="1" applyBorder="1" applyAlignment="1">
      <alignment horizontal="left" vertical="top"/>
    </xf>
    <xf numFmtId="0" fontId="20" fillId="0" borderId="5" xfId="7" applyFont="1" applyFill="1" applyBorder="1" applyAlignment="1">
      <alignment horizontal="left" vertical="top" wrapText="1"/>
    </xf>
    <xf numFmtId="0" fontId="20" fillId="0" borderId="3" xfId="7" applyFont="1" applyFill="1" applyBorder="1" applyAlignment="1">
      <alignment horizontal="left" vertical="top" wrapText="1"/>
    </xf>
    <xf numFmtId="0" fontId="21" fillId="0" borderId="5" xfId="3" applyFont="1" applyBorder="1" applyAlignment="1">
      <alignment horizontal="left" vertical="top" wrapText="1"/>
    </xf>
    <xf numFmtId="0" fontId="21" fillId="0" borderId="3" xfId="3" applyFont="1" applyBorder="1" applyAlignment="1">
      <alignment horizontal="left" vertical="top" wrapText="1"/>
    </xf>
    <xf numFmtId="0" fontId="21" fillId="0" borderId="4" xfId="3" applyFont="1" applyBorder="1" applyAlignment="1">
      <alignment horizontal="left" vertical="top" wrapText="1"/>
    </xf>
    <xf numFmtId="0" fontId="24" fillId="0" borderId="8" xfId="8" applyFont="1" applyBorder="1" applyAlignment="1">
      <alignment horizontal="center" vertical="center" wrapText="1"/>
    </xf>
    <xf numFmtId="0" fontId="24" fillId="0" borderId="6" xfId="8" applyFont="1" applyBorder="1" applyAlignment="1">
      <alignment horizontal="center" vertical="center" wrapText="1"/>
    </xf>
    <xf numFmtId="0" fontId="26" fillId="0" borderId="0" xfId="8" applyFont="1" applyAlignment="1">
      <alignment horizontal="left" vertical="center" wrapText="1"/>
    </xf>
    <xf numFmtId="0" fontId="17" fillId="0" borderId="5" xfId="8" applyFont="1" applyBorder="1" applyAlignment="1">
      <alignment horizontal="left" vertical="center"/>
    </xf>
    <xf numFmtId="0" fontId="17" fillId="0" borderId="4" xfId="8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 wrapText="1"/>
    </xf>
    <xf numFmtId="0" fontId="21" fillId="0" borderId="4" xfId="3" applyFont="1" applyBorder="1" applyAlignment="1">
      <alignment horizontal="left" vertical="center" wrapText="1"/>
    </xf>
    <xf numFmtId="0" fontId="17" fillId="0" borderId="2" xfId="8" applyFont="1" applyBorder="1" applyAlignment="1">
      <alignment horizontal="left" vertical="top" wrapText="1"/>
    </xf>
    <xf numFmtId="0" fontId="17" fillId="0" borderId="0" xfId="8" applyFont="1" applyAlignment="1">
      <alignment horizontal="left" vertical="top" wrapText="1"/>
    </xf>
    <xf numFmtId="0" fontId="22" fillId="0" borderId="0" xfId="8" applyFont="1" applyAlignment="1">
      <alignment horizontal="left" vertical="center" wrapText="1"/>
    </xf>
    <xf numFmtId="1" fontId="20" fillId="0" borderId="1" xfId="3" applyNumberFormat="1" applyFont="1" applyBorder="1" applyAlignment="1">
      <alignment horizontal="center" vertical="top" wrapText="1"/>
    </xf>
    <xf numFmtId="1" fontId="20" fillId="0" borderId="5" xfId="3" applyNumberFormat="1" applyFont="1" applyBorder="1" applyAlignment="1">
      <alignment horizontal="center" vertical="top" wrapText="1"/>
    </xf>
    <xf numFmtId="0" fontId="20" fillId="0" borderId="1" xfId="6" applyFont="1" applyBorder="1" applyAlignment="1">
      <alignment horizontal="left" vertical="top" wrapText="1"/>
    </xf>
    <xf numFmtId="0" fontId="20" fillId="0" borderId="5" xfId="6" applyFont="1" applyBorder="1" applyAlignment="1">
      <alignment horizontal="left" vertical="top" wrapText="1"/>
    </xf>
    <xf numFmtId="0" fontId="20" fillId="0" borderId="9" xfId="3" applyFont="1" applyBorder="1" applyAlignment="1">
      <alignment horizontal="left" vertical="top" wrapText="1"/>
    </xf>
    <xf numFmtId="0" fontId="20" fillId="0" borderId="6" xfId="3" applyFont="1" applyBorder="1" applyAlignment="1">
      <alignment horizontal="left" vertical="top" wrapText="1"/>
    </xf>
    <xf numFmtId="1" fontId="20" fillId="0" borderId="3" xfId="3" applyNumberFormat="1" applyFont="1" applyBorder="1" applyAlignment="1">
      <alignment horizontal="center" vertical="top" wrapText="1"/>
    </xf>
    <xf numFmtId="0" fontId="20" fillId="0" borderId="10" xfId="3" applyFont="1" applyBorder="1" applyAlignment="1">
      <alignment horizontal="left" vertical="top" wrapText="1"/>
    </xf>
    <xf numFmtId="1" fontId="20" fillId="0" borderId="4" xfId="3" applyNumberFormat="1" applyFont="1" applyBorder="1" applyAlignment="1">
      <alignment horizontal="center" vertical="top" wrapText="1"/>
    </xf>
    <xf numFmtId="0" fontId="20" fillId="0" borderId="6" xfId="6" applyFont="1" applyBorder="1" applyAlignment="1">
      <alignment horizontal="left" vertical="top" wrapText="1"/>
    </xf>
    <xf numFmtId="0" fontId="20" fillId="0" borderId="10" xfId="6" applyFont="1" applyBorder="1" applyAlignment="1">
      <alignment horizontal="left" vertical="top" wrapText="1"/>
    </xf>
    <xf numFmtId="0" fontId="20" fillId="0" borderId="3" xfId="6" applyFont="1" applyBorder="1" applyAlignment="1">
      <alignment horizontal="left" vertical="top" wrapText="1"/>
    </xf>
    <xf numFmtId="1" fontId="20" fillId="0" borderId="1" xfId="6" applyNumberFormat="1" applyFont="1" applyBorder="1" applyAlignment="1">
      <alignment horizontal="center" vertical="top" wrapText="1"/>
    </xf>
    <xf numFmtId="0" fontId="20" fillId="0" borderId="5" xfId="6" applyFont="1" applyBorder="1" applyAlignment="1">
      <alignment vertical="top" wrapText="1"/>
    </xf>
    <xf numFmtId="0" fontId="20" fillId="0" borderId="3" xfId="6" applyFont="1" applyBorder="1" applyAlignment="1">
      <alignment vertical="top" wrapText="1"/>
    </xf>
    <xf numFmtId="0" fontId="20" fillId="0" borderId="9" xfId="6" applyFont="1" applyBorder="1" applyAlignment="1">
      <alignment horizontal="left" vertical="top" wrapText="1"/>
    </xf>
    <xf numFmtId="1" fontId="20" fillId="0" borderId="5" xfId="6" applyNumberFormat="1" applyFont="1" applyBorder="1" applyAlignment="1">
      <alignment horizontal="center" vertical="top" wrapText="1"/>
    </xf>
    <xf numFmtId="1" fontId="20" fillId="0" borderId="4" xfId="6" applyNumberFormat="1" applyFont="1" applyBorder="1" applyAlignment="1">
      <alignment horizontal="center" vertical="top" wrapText="1"/>
    </xf>
  </cellXfs>
  <cellStyles count="10">
    <cellStyle name="Comma" xfId="1" builtinId="3"/>
    <cellStyle name="Comma 2" xfId="2" xr:uid="{2FE87E53-F954-43AA-B08D-25FE4B4BD205}"/>
    <cellStyle name="Comma 3" xfId="4" xr:uid="{554CE91B-C2D2-4E27-B4A2-72FDA29FCD19}"/>
    <cellStyle name="Normal" xfId="0" builtinId="0"/>
    <cellStyle name="Normal 2" xfId="3" xr:uid="{9D8F3A80-0C85-426E-9750-95481A943E8A}"/>
    <cellStyle name="Normal 3" xfId="6" xr:uid="{49A792E9-F2CD-4567-BC7A-E6C905553199}"/>
    <cellStyle name="Normal 4" xfId="8" xr:uid="{E0AAFD86-0817-4990-9E29-FF9D79FA3C43}"/>
    <cellStyle name="Normal 5" xfId="9" xr:uid="{02B0BA1C-BE17-4F44-9583-4FA0CEAE28E6}"/>
    <cellStyle name="Percent 2" xfId="5" xr:uid="{8C08DE38-79D1-4509-A61D-3AC8B24C17CE}"/>
    <cellStyle name="Style 1" xfId="7" xr:uid="{7D7B43F1-FB29-4CE3-8ED8-18F72F7C22B3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การตอบแบบฟอร์ม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u2019_27.6.62/Acitvity%202019/Budget%20Template%202019_From%20P.Nook.xlsx" TargetMode="External"/><Relationship Id="rId1" Type="http://schemas.openxmlformats.org/officeDocument/2006/relationships/externalLinkPath" Target="/Ju2019_27.6.62/Acitvity%202019/Budget%20Template%202019_From%20P.N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ld Version"/>
      <sheetName val="Example"/>
      <sheetName val="Guideline"/>
      <sheetName val="Fact Sheet"/>
      <sheetName val="2019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B7F6-5728-4E1F-9894-A31B2790FB3A}">
  <sheetPr>
    <tabColor theme="7" tint="-0.249977111117893"/>
    <pageSetUpPr fitToPage="1"/>
  </sheetPr>
  <dimension ref="A1:AB28"/>
  <sheetViews>
    <sheetView showGridLines="0" zoomScale="40" zoomScaleNormal="40" workbookViewId="0">
      <pane ySplit="2" topLeftCell="A3" activePane="bottomLeft" state="frozen"/>
      <selection pane="bottomLeft" activeCell="AA3" sqref="AA3"/>
      <selection activeCell="E23" sqref="E23"/>
    </sheetView>
  </sheetViews>
  <sheetFormatPr defaultColWidth="8.7109375" defaultRowHeight="30" customHeight="1"/>
  <cols>
    <col min="1" max="1" width="8.7109375" style="7"/>
    <col min="2" max="2" width="12.85546875" style="14" customWidth="1"/>
    <col min="3" max="3" width="50" style="10" customWidth="1"/>
    <col min="4" max="4" width="10.5703125" style="7" hidden="1" customWidth="1"/>
    <col min="5" max="5" width="9.85546875" style="7" hidden="1" customWidth="1"/>
    <col min="6" max="6" width="10.5703125" style="7" hidden="1" customWidth="1"/>
    <col min="7" max="7" width="9.85546875" style="7" hidden="1" customWidth="1"/>
    <col min="8" max="9" width="10.5703125" style="7" hidden="1" customWidth="1"/>
    <col min="10" max="10" width="14.85546875" style="36" bestFit="1" customWidth="1"/>
    <col min="11" max="11" width="8.7109375" style="9" bestFit="1" customWidth="1"/>
    <col min="12" max="12" width="14.42578125" style="9" bestFit="1" customWidth="1"/>
    <col min="13" max="13" width="8.7109375" style="9" bestFit="1" customWidth="1"/>
    <col min="14" max="14" width="13.5703125" style="9" bestFit="1" customWidth="1"/>
    <col min="15" max="15" width="8.140625" style="9" bestFit="1" customWidth="1"/>
    <col min="16" max="17" width="11" style="9" bestFit="1" customWidth="1"/>
    <col min="18" max="19" width="8.140625" style="9" bestFit="1" customWidth="1"/>
    <col min="20" max="20" width="11" style="9" bestFit="1" customWidth="1"/>
    <col min="21" max="21" width="13.85546875" style="9" bestFit="1" customWidth="1"/>
    <col min="22" max="22" width="11" style="9" bestFit="1" customWidth="1"/>
    <col min="23" max="23" width="15.85546875" style="9" bestFit="1" customWidth="1"/>
    <col min="24" max="24" width="11" style="9" customWidth="1"/>
    <col min="25" max="25" width="20" style="12" bestFit="1" customWidth="1"/>
    <col min="26" max="26" width="18" style="9" hidden="1" customWidth="1"/>
    <col min="27" max="27" width="82.5703125" style="9" bestFit="1" customWidth="1"/>
    <col min="28" max="16384" width="8.7109375" style="7"/>
  </cols>
  <sheetData>
    <row r="1" spans="1:28" s="24" customFormat="1" ht="76.5" customHeight="1">
      <c r="B1" s="333" t="s">
        <v>0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22"/>
      <c r="AA1" s="238" t="s">
        <v>1</v>
      </c>
    </row>
    <row r="2" spans="1:28" s="8" customFormat="1" ht="108">
      <c r="A2" s="8" t="s">
        <v>2</v>
      </c>
      <c r="B2" s="54" t="s">
        <v>3</v>
      </c>
      <c r="C2" s="54" t="s">
        <v>4</v>
      </c>
      <c r="D2" s="55" t="s">
        <v>5</v>
      </c>
      <c r="E2" s="55"/>
      <c r="F2" s="55" t="s">
        <v>6</v>
      </c>
      <c r="G2" s="55"/>
      <c r="H2" s="55" t="s">
        <v>7</v>
      </c>
      <c r="I2" s="55"/>
      <c r="J2" s="61" t="s">
        <v>8</v>
      </c>
      <c r="K2" s="53" t="s">
        <v>9</v>
      </c>
      <c r="L2" s="53" t="s">
        <v>10</v>
      </c>
      <c r="M2" s="53" t="s">
        <v>11</v>
      </c>
      <c r="N2" s="53" t="s">
        <v>12</v>
      </c>
      <c r="O2" s="53" t="s">
        <v>13</v>
      </c>
      <c r="P2" s="53" t="s">
        <v>14</v>
      </c>
      <c r="Q2" s="53" t="s">
        <v>15</v>
      </c>
      <c r="R2" s="53" t="s">
        <v>16</v>
      </c>
      <c r="S2" s="53" t="s">
        <v>17</v>
      </c>
      <c r="T2" s="53" t="s">
        <v>18</v>
      </c>
      <c r="U2" s="53" t="s">
        <v>19</v>
      </c>
      <c r="V2" s="53" t="s">
        <v>20</v>
      </c>
      <c r="W2" s="53" t="s">
        <v>21</v>
      </c>
      <c r="X2" s="53" t="s">
        <v>22</v>
      </c>
      <c r="Y2" s="54" t="s">
        <v>23</v>
      </c>
      <c r="Z2" s="56"/>
      <c r="AA2" s="56" t="s">
        <v>24</v>
      </c>
    </row>
    <row r="3" spans="1:28" ht="30" customHeight="1">
      <c r="A3" s="21" t="s">
        <v>2</v>
      </c>
      <c r="B3" s="37">
        <v>1</v>
      </c>
      <c r="C3" s="32" t="s">
        <v>25</v>
      </c>
      <c r="D3" s="15">
        <v>4500</v>
      </c>
      <c r="E3" s="16">
        <v>40</v>
      </c>
      <c r="F3" s="16">
        <v>9500</v>
      </c>
      <c r="G3" s="16">
        <v>42</v>
      </c>
      <c r="H3" s="16">
        <v>4500</v>
      </c>
      <c r="I3" s="16">
        <v>42.5</v>
      </c>
      <c r="J3" s="242">
        <v>5000</v>
      </c>
      <c r="K3" s="247"/>
      <c r="L3" s="247"/>
      <c r="M3" s="247"/>
      <c r="N3" s="247"/>
      <c r="O3" s="247"/>
      <c r="P3" s="247"/>
      <c r="Q3" s="248">
        <v>42.5</v>
      </c>
      <c r="R3" s="247"/>
      <c r="S3" s="247"/>
      <c r="T3" s="247"/>
      <c r="U3" s="247"/>
      <c r="V3" s="247">
        <v>87</v>
      </c>
      <c r="W3" s="247">
        <v>145</v>
      </c>
      <c r="X3" s="247"/>
      <c r="Y3" s="25">
        <f t="shared" ref="Y3:Y15" si="0">MIN(K3:X3)</f>
        <v>42.5</v>
      </c>
      <c r="Z3" s="17">
        <f>+J3*Y3</f>
        <v>212500</v>
      </c>
      <c r="AA3" s="19" t="str" cm="1">
        <f t="array" ref="AA3">_xlfn._xlws.FILTER($K$2:$X$2, K3:X3=MIN(K3:X3))</f>
        <v>Vendor 7</v>
      </c>
    </row>
    <row r="4" spans="1:28" ht="30" customHeight="1">
      <c r="A4" s="21" t="s">
        <v>2</v>
      </c>
      <c r="B4" s="37">
        <v>2</v>
      </c>
      <c r="C4" s="32" t="s">
        <v>26</v>
      </c>
      <c r="D4" s="15">
        <v>5000</v>
      </c>
      <c r="E4" s="16">
        <v>17.5</v>
      </c>
      <c r="F4" s="16">
        <v>6000</v>
      </c>
      <c r="G4" s="16">
        <v>55</v>
      </c>
      <c r="H4" s="16">
        <v>5000</v>
      </c>
      <c r="I4" s="16">
        <v>17.5</v>
      </c>
      <c r="J4" s="242">
        <v>5000</v>
      </c>
      <c r="K4" s="247"/>
      <c r="L4" s="247"/>
      <c r="M4" s="247"/>
      <c r="N4" s="247"/>
      <c r="O4" s="247"/>
      <c r="P4" s="247"/>
      <c r="Q4" s="248">
        <v>28.5</v>
      </c>
      <c r="R4" s="247"/>
      <c r="S4" s="247"/>
      <c r="T4" s="247"/>
      <c r="U4" s="247"/>
      <c r="V4" s="247"/>
      <c r="W4" s="247">
        <v>55</v>
      </c>
      <c r="X4" s="247"/>
      <c r="Y4" s="25">
        <f t="shared" si="0"/>
        <v>28.5</v>
      </c>
      <c r="Z4" s="17">
        <f t="shared" ref="Z4:Z27" si="1">+J4*Y4</f>
        <v>142500</v>
      </c>
      <c r="AA4" s="19" t="str" cm="1">
        <f t="array" ref="AA4">_xlfn._xlws.FILTER($K$2:$X$2, K4:X4=MIN(K4:X4))</f>
        <v>Vendor 7</v>
      </c>
    </row>
    <row r="5" spans="1:28" ht="30" customHeight="1">
      <c r="A5" s="21" t="s">
        <v>2</v>
      </c>
      <c r="B5" s="37">
        <v>3</v>
      </c>
      <c r="C5" s="32" t="s">
        <v>27</v>
      </c>
      <c r="D5" s="16">
        <v>5000</v>
      </c>
      <c r="E5" s="16">
        <v>75</v>
      </c>
      <c r="F5" s="16">
        <v>6000</v>
      </c>
      <c r="G5" s="16">
        <v>75</v>
      </c>
      <c r="H5" s="16">
        <v>7000</v>
      </c>
      <c r="I5" s="16">
        <v>73.5</v>
      </c>
      <c r="J5" s="242">
        <v>6000</v>
      </c>
      <c r="K5" s="247"/>
      <c r="L5" s="247"/>
      <c r="M5" s="247">
        <v>112</v>
      </c>
      <c r="N5" s="247"/>
      <c r="O5" s="247">
        <v>86</v>
      </c>
      <c r="P5" s="247">
        <v>87.5</v>
      </c>
      <c r="Q5" s="247"/>
      <c r="R5" s="247">
        <v>90</v>
      </c>
      <c r="S5" s="249">
        <v>75</v>
      </c>
      <c r="T5" s="248">
        <v>75</v>
      </c>
      <c r="U5" s="247"/>
      <c r="V5" s="247">
        <v>85</v>
      </c>
      <c r="W5" s="247">
        <v>150</v>
      </c>
      <c r="X5" s="247"/>
      <c r="Y5" s="25">
        <f t="shared" si="0"/>
        <v>75</v>
      </c>
      <c r="Z5" s="17">
        <f t="shared" si="1"/>
        <v>450000</v>
      </c>
      <c r="AA5" s="19" t="str" cm="1">
        <f t="array" ref="AA5:AB5">_xlfn._xlws.FILTER($K$2:$X$2, K5:X5=MIN(K5:X5))</f>
        <v>Vendor 9</v>
      </c>
      <c r="AB5" s="7" t="str">
        <v>Vendor 10</v>
      </c>
    </row>
    <row r="6" spans="1:28" ht="30" customHeight="1">
      <c r="A6" s="21" t="s">
        <v>2</v>
      </c>
      <c r="B6" s="37">
        <v>4</v>
      </c>
      <c r="C6" s="32" t="s">
        <v>28</v>
      </c>
      <c r="D6" s="16">
        <v>3000</v>
      </c>
      <c r="E6" s="16">
        <v>55</v>
      </c>
      <c r="F6" s="16">
        <v>2000</v>
      </c>
      <c r="G6" s="16">
        <v>55</v>
      </c>
      <c r="H6" s="16">
        <v>2000</v>
      </c>
      <c r="I6" s="16">
        <v>55</v>
      </c>
      <c r="J6" s="242">
        <v>2000</v>
      </c>
      <c r="K6" s="247"/>
      <c r="L6" s="247"/>
      <c r="M6" s="247">
        <v>98</v>
      </c>
      <c r="N6" s="247"/>
      <c r="O6" s="247">
        <v>71</v>
      </c>
      <c r="P6" s="247">
        <v>74</v>
      </c>
      <c r="Q6" s="247"/>
      <c r="R6" s="247">
        <v>70</v>
      </c>
      <c r="S6" s="248">
        <v>55</v>
      </c>
      <c r="T6" s="247">
        <v>69.5</v>
      </c>
      <c r="U6" s="247"/>
      <c r="V6" s="247">
        <v>70</v>
      </c>
      <c r="W6" s="247">
        <v>100</v>
      </c>
      <c r="X6" s="247"/>
      <c r="Y6" s="25">
        <f t="shared" si="0"/>
        <v>55</v>
      </c>
      <c r="Z6" s="17">
        <f t="shared" si="1"/>
        <v>110000</v>
      </c>
      <c r="AA6" s="19" t="str" cm="1">
        <f t="array" ref="AA6">_xlfn._xlws.FILTER($K$2:$X$2, K6:X6=MIN(K6:X6))</f>
        <v>Vendor 9</v>
      </c>
    </row>
    <row r="7" spans="1:28" ht="30" customHeight="1">
      <c r="A7" s="21" t="s">
        <v>2</v>
      </c>
      <c r="B7" s="37">
        <v>5</v>
      </c>
      <c r="C7" s="32" t="s">
        <v>29</v>
      </c>
      <c r="D7" s="16">
        <v>725</v>
      </c>
      <c r="E7" s="16">
        <v>595</v>
      </c>
      <c r="F7" s="16">
        <v>725</v>
      </c>
      <c r="G7" s="16">
        <v>595</v>
      </c>
      <c r="H7" s="16">
        <v>700</v>
      </c>
      <c r="I7" s="16">
        <v>513</v>
      </c>
      <c r="J7" s="242">
        <v>700</v>
      </c>
      <c r="K7" s="247">
        <v>565</v>
      </c>
      <c r="L7" s="247"/>
      <c r="M7" s="247"/>
      <c r="N7" s="247"/>
      <c r="O7" s="247"/>
      <c r="P7" s="247"/>
      <c r="Q7" s="247"/>
      <c r="R7" s="247"/>
      <c r="S7" s="247"/>
      <c r="T7" s="248">
        <v>523</v>
      </c>
      <c r="U7" s="247"/>
      <c r="V7" s="247">
        <v>1080</v>
      </c>
      <c r="W7" s="250">
        <v>1950</v>
      </c>
      <c r="X7" s="247"/>
      <c r="Y7" s="25">
        <f t="shared" si="0"/>
        <v>523</v>
      </c>
      <c r="Z7" s="17">
        <f t="shared" si="1"/>
        <v>366100</v>
      </c>
      <c r="AA7" s="19" t="str" cm="1">
        <f t="array" ref="AA7">_xlfn._xlws.FILTER($K$2:$X$2, K7:X7=MIN(K7:X7))</f>
        <v>Vendor 10</v>
      </c>
    </row>
    <row r="8" spans="1:28" ht="30" customHeight="1">
      <c r="A8" s="21" t="s">
        <v>2</v>
      </c>
      <c r="B8" s="37">
        <v>5.0999999999999996</v>
      </c>
      <c r="C8" s="32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242">
        <v>700</v>
      </c>
      <c r="K8" s="248">
        <v>570</v>
      </c>
      <c r="L8" s="247"/>
      <c r="M8" s="247"/>
      <c r="N8" s="247"/>
      <c r="O8" s="247"/>
      <c r="P8" s="247"/>
      <c r="Q8" s="247"/>
      <c r="R8" s="247"/>
      <c r="S8" s="247"/>
      <c r="T8" s="247">
        <v>658</v>
      </c>
      <c r="U8" s="247"/>
      <c r="V8" s="247"/>
      <c r="W8" s="250">
        <v>2050</v>
      </c>
      <c r="X8" s="247"/>
      <c r="Y8" s="25">
        <f t="shared" si="0"/>
        <v>570</v>
      </c>
      <c r="Z8" s="17">
        <f t="shared" si="1"/>
        <v>399000</v>
      </c>
      <c r="AA8" s="19" t="str" cm="1">
        <f t="array" ref="AA8">_xlfn._xlws.FILTER($K$2:$X$2, K8:X8=MIN(K8:X8))</f>
        <v>Vendor 1</v>
      </c>
    </row>
    <row r="9" spans="1:28" ht="30" customHeight="1">
      <c r="A9" s="21" t="s">
        <v>2</v>
      </c>
      <c r="B9" s="37">
        <v>5.2</v>
      </c>
      <c r="C9" s="32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242">
        <v>700</v>
      </c>
      <c r="K9" s="247">
        <v>565</v>
      </c>
      <c r="L9" s="247"/>
      <c r="M9" s="247"/>
      <c r="N9" s="247"/>
      <c r="O9" s="247"/>
      <c r="P9" s="247"/>
      <c r="Q9" s="247"/>
      <c r="R9" s="247"/>
      <c r="S9" s="247"/>
      <c r="T9" s="248">
        <v>523</v>
      </c>
      <c r="U9" s="247"/>
      <c r="V9" s="247"/>
      <c r="W9" s="250">
        <v>1950</v>
      </c>
      <c r="X9" s="247"/>
      <c r="Y9" s="25">
        <f t="shared" si="0"/>
        <v>523</v>
      </c>
      <c r="Z9" s="17">
        <f t="shared" si="1"/>
        <v>366100</v>
      </c>
      <c r="AA9" s="19" t="str" cm="1">
        <f t="array" ref="AA9">_xlfn._xlws.FILTER($K$2:$X$2, K9:X9=MIN(K9:X9))</f>
        <v>Vendor 10</v>
      </c>
    </row>
    <row r="10" spans="1:28" ht="30" customHeight="1">
      <c r="A10" s="21" t="s">
        <v>2</v>
      </c>
      <c r="B10" s="37">
        <v>5.3</v>
      </c>
      <c r="C10" s="32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242">
        <v>700</v>
      </c>
      <c r="K10" s="248">
        <v>570</v>
      </c>
      <c r="L10" s="247"/>
      <c r="M10" s="247"/>
      <c r="N10" s="247"/>
      <c r="O10" s="247"/>
      <c r="P10" s="247"/>
      <c r="Q10" s="247"/>
      <c r="R10" s="247"/>
      <c r="S10" s="247"/>
      <c r="T10" s="247">
        <v>658</v>
      </c>
      <c r="U10" s="247"/>
      <c r="V10" s="247"/>
      <c r="W10" s="250">
        <v>1950</v>
      </c>
      <c r="X10" s="247"/>
      <c r="Y10" s="25">
        <f t="shared" si="0"/>
        <v>570</v>
      </c>
      <c r="Z10" s="17">
        <f t="shared" si="1"/>
        <v>399000</v>
      </c>
      <c r="AA10" s="19" t="str" cm="1">
        <f t="array" ref="AA10">_xlfn._xlws.FILTER($K$2:$X$2, K10:X10=MIN(K10:X10))</f>
        <v>Vendor 1</v>
      </c>
    </row>
    <row r="11" spans="1:28" ht="30" customHeight="1">
      <c r="A11" s="21" t="s">
        <v>2</v>
      </c>
      <c r="B11" s="37">
        <v>5.4</v>
      </c>
      <c r="C11" s="32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242">
        <v>700</v>
      </c>
      <c r="K11" s="248">
        <v>570</v>
      </c>
      <c r="L11" s="247"/>
      <c r="M11" s="247"/>
      <c r="N11" s="247">
        <v>800</v>
      </c>
      <c r="O11" s="247"/>
      <c r="P11" s="247"/>
      <c r="Q11" s="247"/>
      <c r="R11" s="247"/>
      <c r="S11" s="247"/>
      <c r="T11" s="247">
        <v>583</v>
      </c>
      <c r="U11" s="247"/>
      <c r="V11" s="247"/>
      <c r="W11" s="250">
        <v>2300</v>
      </c>
      <c r="X11" s="247"/>
      <c r="Y11" s="25">
        <f t="shared" si="0"/>
        <v>570</v>
      </c>
      <c r="Z11" s="17">
        <f t="shared" si="1"/>
        <v>399000</v>
      </c>
      <c r="AA11" s="19" t="str" cm="1">
        <f t="array" ref="AA11">_xlfn._xlws.FILTER($K$2:$X$2, K11:X11=MIN(K11:X11))</f>
        <v>Vendor 1</v>
      </c>
    </row>
    <row r="12" spans="1:28" ht="30" customHeight="1">
      <c r="A12" s="21" t="s">
        <v>2</v>
      </c>
      <c r="B12" s="37">
        <v>5.5</v>
      </c>
      <c r="C12" s="32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242">
        <v>700</v>
      </c>
      <c r="K12" s="248">
        <v>585</v>
      </c>
      <c r="L12" s="247"/>
      <c r="M12" s="247"/>
      <c r="N12" s="250">
        <v>1050</v>
      </c>
      <c r="O12" s="247"/>
      <c r="P12" s="247"/>
      <c r="Q12" s="247"/>
      <c r="R12" s="247"/>
      <c r="S12" s="247"/>
      <c r="T12" s="247">
        <v>716</v>
      </c>
      <c r="U12" s="247"/>
      <c r="V12" s="247"/>
      <c r="W12" s="250">
        <v>2400</v>
      </c>
      <c r="X12" s="247"/>
      <c r="Y12" s="25">
        <f t="shared" si="0"/>
        <v>585</v>
      </c>
      <c r="Z12" s="17">
        <f t="shared" si="1"/>
        <v>409500</v>
      </c>
      <c r="AA12" s="19" t="str" cm="1">
        <f t="array" ref="AA12">_xlfn._xlws.FILTER($K$2:$X$2, K12:X12=MIN(K12:X12))</f>
        <v>Vendor 1</v>
      </c>
    </row>
    <row r="13" spans="1:28" ht="30" customHeight="1">
      <c r="A13" s="21" t="s">
        <v>2</v>
      </c>
      <c r="B13" s="37">
        <v>5.6</v>
      </c>
      <c r="C13" s="32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242">
        <v>700</v>
      </c>
      <c r="K13" s="248">
        <v>570</v>
      </c>
      <c r="L13" s="247"/>
      <c r="M13" s="247"/>
      <c r="N13" s="247"/>
      <c r="O13" s="247"/>
      <c r="P13" s="247"/>
      <c r="Q13" s="247"/>
      <c r="R13" s="247"/>
      <c r="S13" s="247"/>
      <c r="T13" s="247">
        <v>583</v>
      </c>
      <c r="U13" s="247"/>
      <c r="V13" s="247"/>
      <c r="W13" s="250">
        <v>2300</v>
      </c>
      <c r="X13" s="247"/>
      <c r="Y13" s="25">
        <f t="shared" si="0"/>
        <v>570</v>
      </c>
      <c r="Z13" s="17">
        <f t="shared" si="1"/>
        <v>399000</v>
      </c>
      <c r="AA13" s="19" t="str" cm="1">
        <f t="array" ref="AA13">_xlfn._xlws.FILTER($K$2:$X$2, K13:X13=MIN(K13:X13))</f>
        <v>Vendor 1</v>
      </c>
    </row>
    <row r="14" spans="1:28" ht="30" customHeight="1">
      <c r="A14" s="21" t="s">
        <v>2</v>
      </c>
      <c r="B14" s="37">
        <v>5.7</v>
      </c>
      <c r="C14" s="32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242">
        <v>700</v>
      </c>
      <c r="K14" s="248">
        <v>585</v>
      </c>
      <c r="L14" s="247"/>
      <c r="M14" s="247"/>
      <c r="N14" s="247"/>
      <c r="O14" s="247"/>
      <c r="P14" s="247"/>
      <c r="Q14" s="247"/>
      <c r="R14" s="247"/>
      <c r="S14" s="247"/>
      <c r="T14" s="247">
        <v>716</v>
      </c>
      <c r="U14" s="247"/>
      <c r="V14" s="247"/>
      <c r="W14" s="250">
        <v>2400</v>
      </c>
      <c r="X14" s="247"/>
      <c r="Y14" s="25">
        <f t="shared" si="0"/>
        <v>585</v>
      </c>
      <c r="Z14" s="17">
        <f t="shared" si="1"/>
        <v>409500</v>
      </c>
      <c r="AA14" s="19" t="str" cm="1">
        <f t="array" ref="AA14">_xlfn._xlws.FILTER($K$2:$X$2, K14:X14=MIN(K14:X14))</f>
        <v>Vendor 1</v>
      </c>
    </row>
    <row r="15" spans="1:28" ht="30" customHeight="1">
      <c r="A15" s="21" t="s">
        <v>2</v>
      </c>
      <c r="B15" s="37">
        <v>6</v>
      </c>
      <c r="C15" s="32" t="s">
        <v>37</v>
      </c>
      <c r="D15" s="18">
        <v>6000</v>
      </c>
      <c r="E15" s="18">
        <v>53.5</v>
      </c>
      <c r="F15" s="18"/>
      <c r="G15" s="18"/>
      <c r="H15" s="18">
        <v>1000</v>
      </c>
      <c r="I15" s="18">
        <v>60</v>
      </c>
      <c r="J15" s="242">
        <v>5000</v>
      </c>
      <c r="K15" s="247"/>
      <c r="L15" s="248">
        <v>58</v>
      </c>
      <c r="M15" s="247"/>
      <c r="N15" s="247"/>
      <c r="O15" s="247"/>
      <c r="P15" s="247"/>
      <c r="Q15" s="247"/>
      <c r="R15" s="247"/>
      <c r="S15" s="247"/>
      <c r="T15" s="247"/>
      <c r="U15" s="247"/>
      <c r="V15" s="247">
        <v>70</v>
      </c>
      <c r="W15" s="247">
        <v>130.35</v>
      </c>
      <c r="X15" s="247"/>
      <c r="Y15" s="25">
        <f t="shared" si="0"/>
        <v>58</v>
      </c>
      <c r="Z15" s="17">
        <f t="shared" si="1"/>
        <v>290000</v>
      </c>
      <c r="AA15" s="19" t="str" cm="1">
        <f t="array" ref="AA15">_xlfn._xlws.FILTER($K$2:$X$2, K15:X15=MIN(K15:X15))</f>
        <v>Vendor 2</v>
      </c>
    </row>
    <row r="16" spans="1:28" ht="30" customHeight="1">
      <c r="A16" s="21" t="s">
        <v>2</v>
      </c>
      <c r="B16" s="37">
        <v>7</v>
      </c>
      <c r="C16" s="32" t="s">
        <v>38</v>
      </c>
      <c r="D16" s="18">
        <v>1500</v>
      </c>
      <c r="E16" s="18">
        <v>80</v>
      </c>
      <c r="F16" s="18"/>
      <c r="G16" s="18"/>
      <c r="H16" s="18">
        <v>1500</v>
      </c>
      <c r="I16" s="18">
        <v>55</v>
      </c>
      <c r="J16" s="243">
        <v>2500</v>
      </c>
      <c r="K16" s="249"/>
      <c r="L16" s="249"/>
      <c r="M16" s="249">
        <v>115</v>
      </c>
      <c r="N16" s="249"/>
      <c r="O16" s="249">
        <v>59</v>
      </c>
      <c r="P16" s="249"/>
      <c r="Q16" s="249"/>
      <c r="R16" s="249">
        <v>85</v>
      </c>
      <c r="S16" s="249"/>
      <c r="T16" s="249">
        <v>73.5</v>
      </c>
      <c r="U16" s="249"/>
      <c r="V16" s="249">
        <v>95</v>
      </c>
      <c r="W16" s="249">
        <v>350</v>
      </c>
      <c r="X16" s="249"/>
      <c r="Y16" s="25">
        <v>85</v>
      </c>
      <c r="Z16" s="17">
        <f t="shared" si="1"/>
        <v>212500</v>
      </c>
      <c r="AA16" s="19" t="str" cm="1">
        <f t="array" ref="AA16">_xlfn._xlws.FILTER($K$2:$X$2, K16:X16=MIN(K16:X16))</f>
        <v>Vendor 5</v>
      </c>
    </row>
    <row r="17" spans="1:27" ht="30" customHeight="1">
      <c r="A17" s="21" t="s">
        <v>2</v>
      </c>
      <c r="B17" s="37">
        <v>8</v>
      </c>
      <c r="C17" s="32" t="s">
        <v>39</v>
      </c>
      <c r="D17" s="16">
        <v>4800</v>
      </c>
      <c r="E17" s="16">
        <v>110</v>
      </c>
      <c r="F17" s="16"/>
      <c r="G17" s="16"/>
      <c r="H17" s="16"/>
      <c r="I17" s="16"/>
      <c r="J17" s="244">
        <v>10000</v>
      </c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>
        <v>180</v>
      </c>
      <c r="V17" s="247"/>
      <c r="W17" s="247"/>
      <c r="X17" s="248">
        <v>160</v>
      </c>
      <c r="Y17" s="25">
        <f>MIN(K17:X17)</f>
        <v>160</v>
      </c>
      <c r="Z17" s="17">
        <f t="shared" si="1"/>
        <v>1600000</v>
      </c>
      <c r="AA17" s="19" t="str" cm="1">
        <f t="array" ref="AA17">_xlfn._xlws.FILTER($K$2:$X$2, K17:X17=MIN(K17:X17))</f>
        <v>Vendor 14</v>
      </c>
    </row>
    <row r="18" spans="1:27" ht="30" customHeight="1">
      <c r="A18" s="21" t="s">
        <v>2</v>
      </c>
      <c r="B18" s="37">
        <v>9</v>
      </c>
      <c r="C18" s="32" t="s">
        <v>40</v>
      </c>
      <c r="D18" s="16">
        <v>1000</v>
      </c>
      <c r="E18" s="16">
        <v>750</v>
      </c>
      <c r="F18" s="16"/>
      <c r="G18" s="16"/>
      <c r="H18" s="16">
        <v>1000</v>
      </c>
      <c r="I18" s="16">
        <v>770</v>
      </c>
      <c r="J18" s="242">
        <v>2500</v>
      </c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8">
        <v>750</v>
      </c>
      <c r="V18" s="249">
        <v>680</v>
      </c>
      <c r="W18" s="249"/>
      <c r="X18" s="249"/>
      <c r="Y18" s="25">
        <v>750</v>
      </c>
      <c r="Z18" s="17">
        <f t="shared" si="1"/>
        <v>1875000</v>
      </c>
      <c r="AA18" s="19" t="str" cm="1">
        <f t="array" ref="AA18">_xlfn._xlws.FILTER($K$2:$X$2, K18:X18=MIN(K18:X18))</f>
        <v>Vendor 12</v>
      </c>
    </row>
    <row r="19" spans="1:27" ht="30" customHeight="1">
      <c r="A19" s="21" t="s">
        <v>2</v>
      </c>
      <c r="B19" s="37">
        <v>10</v>
      </c>
      <c r="C19" s="33" t="s">
        <v>41</v>
      </c>
      <c r="D19" s="15"/>
      <c r="E19" s="16"/>
      <c r="F19" s="16"/>
      <c r="G19" s="16"/>
      <c r="H19" s="16"/>
      <c r="I19" s="16"/>
      <c r="J19" s="244">
        <v>4000</v>
      </c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>
        <v>630</v>
      </c>
      <c r="V19" s="247"/>
      <c r="W19" s="247"/>
      <c r="X19" s="248">
        <v>565</v>
      </c>
      <c r="Y19" s="25">
        <f t="shared" ref="Y19:Y20" si="2">MIN(K19:X19)</f>
        <v>565</v>
      </c>
      <c r="Z19" s="17">
        <f t="shared" si="1"/>
        <v>2260000</v>
      </c>
      <c r="AA19" s="19" t="str" cm="1">
        <f t="array" ref="AA19">_xlfn._xlws.FILTER($K$2:$X$2, K19:X19=MIN(K19:X19))</f>
        <v>Vendor 14</v>
      </c>
    </row>
    <row r="20" spans="1:27" ht="30" customHeight="1">
      <c r="A20" s="21" t="s">
        <v>2</v>
      </c>
      <c r="B20" s="37">
        <v>10.1</v>
      </c>
      <c r="C20" s="33" t="s">
        <v>41</v>
      </c>
      <c r="D20" s="15">
        <v>5000</v>
      </c>
      <c r="E20" s="16">
        <v>650</v>
      </c>
      <c r="F20" s="16"/>
      <c r="G20" s="16"/>
      <c r="H20" s="16">
        <v>5000</v>
      </c>
      <c r="I20" s="16">
        <v>565</v>
      </c>
      <c r="J20" s="244">
        <v>5000</v>
      </c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>
        <v>620</v>
      </c>
      <c r="V20" s="247"/>
      <c r="W20" s="247"/>
      <c r="X20" s="248">
        <v>565</v>
      </c>
      <c r="Y20" s="25">
        <f t="shared" si="2"/>
        <v>565</v>
      </c>
      <c r="Z20" s="17">
        <f t="shared" si="1"/>
        <v>2825000</v>
      </c>
      <c r="AA20" s="19" t="str" cm="1">
        <f t="array" ref="AA20">_xlfn._xlws.FILTER($K$2:$X$2, K20:X20=MIN(K20:X20))</f>
        <v>Vendor 14</v>
      </c>
    </row>
    <row r="21" spans="1:27" ht="30" customHeight="1">
      <c r="A21" s="21" t="s">
        <v>2</v>
      </c>
      <c r="B21" s="19">
        <v>11</v>
      </c>
      <c r="C21" s="32" t="s">
        <v>42</v>
      </c>
      <c r="D21" s="18">
        <v>0</v>
      </c>
      <c r="E21" s="20">
        <v>0</v>
      </c>
      <c r="F21" s="20"/>
      <c r="G21" s="20"/>
      <c r="H21" s="20">
        <v>600</v>
      </c>
      <c r="I21" s="20">
        <v>1730</v>
      </c>
      <c r="J21" s="244">
        <v>500</v>
      </c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51">
        <v>1700</v>
      </c>
      <c r="V21" s="247"/>
      <c r="W21" s="247"/>
      <c r="X21" s="252">
        <v>1500</v>
      </c>
      <c r="Y21" s="25">
        <v>1700</v>
      </c>
      <c r="Z21" s="17">
        <f t="shared" si="1"/>
        <v>850000</v>
      </c>
      <c r="AA21" s="19" t="str" cm="1">
        <f t="array" ref="AA21">_xlfn._xlws.FILTER($K$2:$X$2, K21:X21=MIN(K21:X21))</f>
        <v>Vendor 14</v>
      </c>
    </row>
    <row r="22" spans="1:27" ht="30" customHeight="1">
      <c r="A22" s="21" t="s">
        <v>2</v>
      </c>
      <c r="B22" s="19">
        <v>11.1</v>
      </c>
      <c r="C22" s="32" t="s">
        <v>42</v>
      </c>
      <c r="D22" s="20"/>
      <c r="E22" s="20"/>
      <c r="F22" s="20"/>
      <c r="G22" s="20"/>
      <c r="H22" s="20"/>
      <c r="I22" s="20"/>
      <c r="J22" s="244">
        <v>1000</v>
      </c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51">
        <v>1600</v>
      </c>
      <c r="V22" s="247"/>
      <c r="W22" s="247"/>
      <c r="X22" s="252">
        <v>1500</v>
      </c>
      <c r="Y22" s="25">
        <v>1600</v>
      </c>
      <c r="Z22" s="17">
        <f t="shared" si="1"/>
        <v>1600000</v>
      </c>
      <c r="AA22" s="19" t="str" cm="1">
        <f t="array" ref="AA22">_xlfn._xlws.FILTER($K$2:$X$2, K22:X22=MIN(K22:X22))</f>
        <v>Vendor 14</v>
      </c>
    </row>
    <row r="23" spans="1:27" ht="30" customHeight="1">
      <c r="A23" s="21" t="s">
        <v>2</v>
      </c>
      <c r="B23" s="19">
        <v>12</v>
      </c>
      <c r="C23" s="32" t="s">
        <v>43</v>
      </c>
      <c r="D23" s="18"/>
      <c r="E23" s="18"/>
      <c r="F23" s="18"/>
      <c r="G23" s="18"/>
      <c r="H23" s="18">
        <v>160</v>
      </c>
      <c r="I23" s="18">
        <v>5600</v>
      </c>
      <c r="J23" s="242">
        <v>50</v>
      </c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53">
        <v>5600</v>
      </c>
      <c r="Y23" s="25">
        <f t="shared" ref="Y23:Y26" si="3">MIN(K23:X23)</f>
        <v>5600</v>
      </c>
      <c r="Z23" s="17">
        <f t="shared" si="1"/>
        <v>280000</v>
      </c>
      <c r="AA23" s="19" t="str" cm="1">
        <f t="array" ref="AA23">_xlfn._xlws.FILTER($K$2:$X$2, K23:X23=MIN(K23:X23))</f>
        <v>Vendor 14</v>
      </c>
    </row>
    <row r="24" spans="1:27" ht="30" customHeight="1">
      <c r="A24" s="21" t="s">
        <v>2</v>
      </c>
      <c r="B24" s="19">
        <v>12.1</v>
      </c>
      <c r="C24" s="32" t="s">
        <v>43</v>
      </c>
      <c r="D24" s="18"/>
      <c r="E24" s="18"/>
      <c r="F24" s="18"/>
      <c r="G24" s="18"/>
      <c r="H24" s="18"/>
      <c r="I24" s="18"/>
      <c r="J24" s="242">
        <v>100</v>
      </c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53">
        <v>5600</v>
      </c>
      <c r="Y24" s="25">
        <f t="shared" si="3"/>
        <v>5600</v>
      </c>
      <c r="Z24" s="17">
        <f t="shared" si="1"/>
        <v>560000</v>
      </c>
      <c r="AA24" s="19" t="str" cm="1">
        <f t="array" ref="AA24">_xlfn._xlws.FILTER($K$2:$X$2, K24:X24=MIN(K24:X24))</f>
        <v>Vendor 14</v>
      </c>
    </row>
    <row r="25" spans="1:27" ht="30" customHeight="1">
      <c r="A25" s="21" t="s">
        <v>2</v>
      </c>
      <c r="B25" s="19">
        <v>13</v>
      </c>
      <c r="C25" s="32" t="s">
        <v>44</v>
      </c>
      <c r="D25" s="18"/>
      <c r="E25" s="18"/>
      <c r="F25" s="18"/>
      <c r="G25" s="18"/>
      <c r="H25" s="18">
        <v>50</v>
      </c>
      <c r="I25" s="18">
        <v>5600</v>
      </c>
      <c r="J25" s="242">
        <v>50</v>
      </c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53">
        <v>5600</v>
      </c>
      <c r="Y25" s="25">
        <f t="shared" si="3"/>
        <v>5600</v>
      </c>
      <c r="Z25" s="17">
        <f t="shared" si="1"/>
        <v>280000</v>
      </c>
      <c r="AA25" s="19" t="str" cm="1">
        <f t="array" ref="AA25">_xlfn._xlws.FILTER($K$2:$X$2, K25:X25=MIN(K25:X25))</f>
        <v>Vendor 14</v>
      </c>
    </row>
    <row r="26" spans="1:27" ht="30" customHeight="1">
      <c r="A26" s="21" t="s">
        <v>2</v>
      </c>
      <c r="B26" s="19">
        <v>13.1</v>
      </c>
      <c r="C26" s="32" t="s">
        <v>44</v>
      </c>
      <c r="D26" s="18"/>
      <c r="E26" s="18"/>
      <c r="F26" s="18"/>
      <c r="G26" s="18"/>
      <c r="H26" s="18"/>
      <c r="I26" s="18"/>
      <c r="J26" s="242">
        <v>100</v>
      </c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53">
        <v>5600</v>
      </c>
      <c r="Y26" s="25">
        <f t="shared" si="3"/>
        <v>5600</v>
      </c>
      <c r="Z26" s="17">
        <f t="shared" si="1"/>
        <v>560000</v>
      </c>
      <c r="AA26" s="19" t="str" cm="1">
        <f t="array" ref="AA26">_xlfn._xlws.FILTER($K$2:$X$2, K26:X26=MIN(K26:X26))</f>
        <v>Vendor 14</v>
      </c>
    </row>
    <row r="27" spans="1:27" ht="30" customHeight="1">
      <c r="A27" s="21" t="s">
        <v>2</v>
      </c>
      <c r="B27" s="19">
        <v>14</v>
      </c>
      <c r="C27" s="32" t="s">
        <v>45</v>
      </c>
      <c r="D27" s="18"/>
      <c r="E27" s="18"/>
      <c r="F27" s="18"/>
      <c r="G27" s="18"/>
      <c r="H27" s="18">
        <v>100</v>
      </c>
      <c r="I27" s="18">
        <v>1100</v>
      </c>
      <c r="J27" s="242">
        <v>100</v>
      </c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51">
        <v>1200</v>
      </c>
      <c r="V27" s="250"/>
      <c r="W27" s="250">
        <v>1050</v>
      </c>
      <c r="X27" s="247"/>
      <c r="Y27" s="25">
        <v>1200</v>
      </c>
      <c r="Z27" s="17">
        <f t="shared" si="1"/>
        <v>120000</v>
      </c>
      <c r="AA27" s="19" t="str" cm="1">
        <f t="array" ref="AA27">_xlfn._xlws.FILTER($K$2:$X$2, K27:X27=MIN(K27:X27))</f>
        <v>Vendor 13</v>
      </c>
    </row>
    <row r="28" spans="1:27" ht="30" customHeight="1">
      <c r="B28" s="7"/>
      <c r="I28" s="11"/>
      <c r="Z28" s="13">
        <f>SUM(Z3:Z27)</f>
        <v>17374700</v>
      </c>
    </row>
  </sheetData>
  <mergeCells count="1">
    <mergeCell ref="B1:Y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9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7BDC-5F9E-4655-A23B-9558A2B50676}">
  <sheetPr>
    <pageSetUpPr fitToPage="1"/>
  </sheetPr>
  <dimension ref="A1:AA41"/>
  <sheetViews>
    <sheetView showGridLines="0" zoomScale="40" zoomScaleNormal="40" workbookViewId="0">
      <pane ySplit="2" topLeftCell="A3" activePane="bottomLeft" state="frozen"/>
      <selection pane="bottomLeft" activeCell="U4" sqref="U4"/>
      <selection activeCell="C25" sqref="C25"/>
    </sheetView>
  </sheetViews>
  <sheetFormatPr defaultColWidth="8.7109375" defaultRowHeight="14.1"/>
  <cols>
    <col min="1" max="1" width="22.42578125" style="1" customWidth="1"/>
    <col min="2" max="2" width="10.5703125" style="1" customWidth="1"/>
    <col min="3" max="3" width="74" style="3" bestFit="1" customWidth="1"/>
    <col min="4" max="4" width="14.85546875" style="5" bestFit="1" customWidth="1"/>
    <col min="5" max="5" width="8.7109375" style="1" bestFit="1" customWidth="1"/>
    <col min="6" max="6" width="11" style="1" bestFit="1" customWidth="1"/>
    <col min="7" max="7" width="19" style="1" bestFit="1" customWidth="1"/>
    <col min="8" max="8" width="11.140625" style="1" bestFit="1" customWidth="1"/>
    <col min="9" max="9" width="19.42578125" style="1" bestFit="1" customWidth="1"/>
    <col min="10" max="10" width="18.85546875" style="1" bestFit="1" customWidth="1"/>
    <col min="11" max="11" width="8.140625" style="1" bestFit="1" customWidth="1"/>
    <col min="12" max="12" width="8.7109375" style="1" bestFit="1" customWidth="1"/>
    <col min="13" max="13" width="20.140625" style="1" bestFit="1" customWidth="1"/>
    <col min="14" max="14" width="14.140625" style="1" bestFit="1" customWidth="1"/>
    <col min="15" max="15" width="19.7109375" style="1" bestFit="1" customWidth="1"/>
    <col min="16" max="16" width="18.140625" style="1" bestFit="1" customWidth="1"/>
    <col min="17" max="17" width="19.85546875" style="1" bestFit="1" customWidth="1"/>
    <col min="18" max="18" width="18.140625" style="64" customWidth="1"/>
    <col min="19" max="19" width="11.42578125" style="1" bestFit="1" customWidth="1"/>
    <col min="20" max="20" width="23.85546875" style="4" customWidth="1"/>
    <col min="21" max="21" width="85.5703125" style="1" customWidth="1"/>
    <col min="22" max="22" width="118.7109375" style="1" customWidth="1"/>
    <col min="23" max="16384" width="8.7109375" style="1"/>
  </cols>
  <sheetData>
    <row r="1" spans="1:27" s="24" customFormat="1" ht="46.5" customHeight="1">
      <c r="B1" s="335" t="s">
        <v>46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254" t="s">
        <v>47</v>
      </c>
      <c r="V1" s="69"/>
      <c r="W1" s="69"/>
      <c r="X1" s="69"/>
      <c r="Y1" s="69"/>
      <c r="AA1" s="23"/>
    </row>
    <row r="2" spans="1:27" s="60" customFormat="1" ht="105.6">
      <c r="B2" s="57" t="s">
        <v>3</v>
      </c>
      <c r="C2" s="57" t="s">
        <v>48</v>
      </c>
      <c r="D2" s="61" t="s">
        <v>8</v>
      </c>
      <c r="E2" s="53" t="s">
        <v>49</v>
      </c>
      <c r="F2" s="53" t="s">
        <v>50</v>
      </c>
      <c r="G2" s="53" t="s">
        <v>51</v>
      </c>
      <c r="H2" s="53" t="s">
        <v>52</v>
      </c>
      <c r="I2" s="53" t="s">
        <v>53</v>
      </c>
      <c r="J2" s="53" t="s">
        <v>54</v>
      </c>
      <c r="K2" s="53" t="s">
        <v>55</v>
      </c>
      <c r="L2" s="53" t="s">
        <v>56</v>
      </c>
      <c r="M2" s="53" t="s">
        <v>57</v>
      </c>
      <c r="N2" s="53" t="s">
        <v>58</v>
      </c>
      <c r="O2" s="53" t="s">
        <v>59</v>
      </c>
      <c r="P2" s="53" t="s">
        <v>60</v>
      </c>
      <c r="Q2" s="53" t="s">
        <v>61</v>
      </c>
      <c r="R2" s="53" t="s">
        <v>62</v>
      </c>
      <c r="S2" s="53" t="s">
        <v>63</v>
      </c>
      <c r="T2" s="54" t="s">
        <v>23</v>
      </c>
      <c r="U2" s="56" t="s">
        <v>24</v>
      </c>
      <c r="V2" s="56" t="s">
        <v>24</v>
      </c>
    </row>
    <row r="3" spans="1:27" s="2" customFormat="1" ht="35.450000000000003">
      <c r="A3" s="2" t="s">
        <v>64</v>
      </c>
      <c r="B3" s="41">
        <v>1</v>
      </c>
      <c r="C3" s="42" t="s">
        <v>65</v>
      </c>
      <c r="D3" s="38">
        <v>100</v>
      </c>
      <c r="E3" s="26"/>
      <c r="F3" s="26"/>
      <c r="G3" s="26"/>
      <c r="H3" s="26"/>
      <c r="I3" s="29">
        <v>2095</v>
      </c>
      <c r="J3" s="28"/>
      <c r="K3" s="28"/>
      <c r="L3" s="28"/>
      <c r="M3" s="28">
        <v>2000</v>
      </c>
      <c r="N3" s="28"/>
      <c r="O3" s="28">
        <v>2200</v>
      </c>
      <c r="P3" s="28"/>
      <c r="Q3" s="28">
        <v>3500</v>
      </c>
      <c r="R3" s="65"/>
      <c r="S3" s="58"/>
      <c r="T3" s="68">
        <v>2095</v>
      </c>
      <c r="U3" s="19" t="s">
        <v>53</v>
      </c>
      <c r="V3" s="6" t="s">
        <v>66</v>
      </c>
    </row>
    <row r="4" spans="1:27" s="2" customFormat="1" ht="35.450000000000003">
      <c r="A4" s="2" t="s">
        <v>64</v>
      </c>
      <c r="B4" s="39"/>
      <c r="C4" s="40"/>
      <c r="D4" s="38">
        <v>200</v>
      </c>
      <c r="E4" s="26"/>
      <c r="F4" s="26"/>
      <c r="G4" s="26"/>
      <c r="H4" s="26"/>
      <c r="I4" s="29">
        <v>2095</v>
      </c>
      <c r="J4" s="28"/>
      <c r="K4" s="28"/>
      <c r="L4" s="28"/>
      <c r="M4" s="28">
        <v>2000</v>
      </c>
      <c r="N4" s="28"/>
      <c r="O4" s="28">
        <v>2500</v>
      </c>
      <c r="P4" s="28"/>
      <c r="Q4" s="28">
        <v>3300</v>
      </c>
      <c r="R4" s="65"/>
      <c r="S4" s="62"/>
      <c r="T4" s="68">
        <v>2095</v>
      </c>
      <c r="U4" s="19" t="s">
        <v>53</v>
      </c>
    </row>
    <row r="5" spans="1:27" s="2" customFormat="1" ht="35.450000000000003">
      <c r="A5" s="2" t="s">
        <v>64</v>
      </c>
      <c r="B5" s="41">
        <v>2</v>
      </c>
      <c r="C5" s="42" t="s">
        <v>67</v>
      </c>
      <c r="D5" s="34">
        <v>500</v>
      </c>
      <c r="E5" s="26"/>
      <c r="F5" s="26">
        <v>520</v>
      </c>
      <c r="G5" s="26">
        <v>240</v>
      </c>
      <c r="H5" s="26">
        <v>580</v>
      </c>
      <c r="I5" s="26">
        <v>294</v>
      </c>
      <c r="J5" s="27">
        <v>200</v>
      </c>
      <c r="K5" s="26"/>
      <c r="L5" s="26"/>
      <c r="M5" s="26">
        <v>360</v>
      </c>
      <c r="N5" s="26"/>
      <c r="O5" s="26">
        <v>500</v>
      </c>
      <c r="P5" s="26">
        <v>300</v>
      </c>
      <c r="Q5" s="26">
        <v>450</v>
      </c>
      <c r="R5" s="65">
        <v>299</v>
      </c>
      <c r="S5" s="62">
        <v>365</v>
      </c>
      <c r="T5" s="68">
        <v>200</v>
      </c>
      <c r="U5" s="19" t="str" cm="1">
        <f t="array" ref="U5">_xlfn._xlws.FILTER($E$2:$S$2, E5:S5=MIN(E5:R5))</f>
        <v>vendor 6</v>
      </c>
    </row>
    <row r="6" spans="1:27" s="2" customFormat="1" ht="35.450000000000003">
      <c r="A6" s="2" t="s">
        <v>64</v>
      </c>
      <c r="B6" s="39"/>
      <c r="C6" s="40"/>
      <c r="D6" s="34">
        <v>1000</v>
      </c>
      <c r="E6" s="26"/>
      <c r="F6" s="26">
        <v>500</v>
      </c>
      <c r="G6" s="26">
        <v>240</v>
      </c>
      <c r="H6" s="26">
        <v>580</v>
      </c>
      <c r="I6" s="26">
        <v>263</v>
      </c>
      <c r="J6" s="27">
        <v>190</v>
      </c>
      <c r="K6" s="26"/>
      <c r="L6" s="26"/>
      <c r="M6" s="26">
        <v>360</v>
      </c>
      <c r="N6" s="26"/>
      <c r="O6" s="26">
        <v>400</v>
      </c>
      <c r="P6" s="59">
        <v>290</v>
      </c>
      <c r="Q6" s="26">
        <v>430</v>
      </c>
      <c r="R6" s="65">
        <v>287.5</v>
      </c>
      <c r="S6" s="62">
        <v>335</v>
      </c>
      <c r="T6" s="68">
        <v>190</v>
      </c>
      <c r="U6" s="19" t="str" cm="1">
        <f t="array" ref="U6">_xlfn._xlws.FILTER($E$2:$S$2, E6:S6=MIN(E6:R6))</f>
        <v>vendor 6</v>
      </c>
    </row>
    <row r="7" spans="1:27" s="2" customFormat="1" ht="35.450000000000003">
      <c r="A7" s="2" t="s">
        <v>64</v>
      </c>
      <c r="B7" s="41">
        <v>3</v>
      </c>
      <c r="C7" s="42" t="s">
        <v>68</v>
      </c>
      <c r="D7" s="34">
        <v>500</v>
      </c>
      <c r="E7" s="26"/>
      <c r="F7" s="26"/>
      <c r="G7" s="26">
        <v>270</v>
      </c>
      <c r="H7" s="26">
        <v>645</v>
      </c>
      <c r="I7" s="26">
        <v>344</v>
      </c>
      <c r="J7" s="26">
        <v>295</v>
      </c>
      <c r="K7" s="26"/>
      <c r="L7" s="26"/>
      <c r="M7" s="26">
        <v>450</v>
      </c>
      <c r="N7" s="26"/>
      <c r="O7" s="26">
        <v>550</v>
      </c>
      <c r="P7" s="59">
        <v>333.5</v>
      </c>
      <c r="Q7" s="27">
        <v>240</v>
      </c>
      <c r="R7" s="65">
        <v>333.5</v>
      </c>
      <c r="S7" s="62">
        <v>470</v>
      </c>
      <c r="T7" s="68">
        <v>240</v>
      </c>
      <c r="U7" s="19" t="str" cm="1">
        <f t="array" ref="U7">_xlfn._xlws.FILTER($E$2:$S$2, E7:S7=MIN(E7:R7))</f>
        <v>vendor 13</v>
      </c>
    </row>
    <row r="8" spans="1:27" s="2" customFormat="1" ht="35.450000000000003">
      <c r="A8" s="2" t="s">
        <v>64</v>
      </c>
      <c r="B8" s="39"/>
      <c r="C8" s="40"/>
      <c r="D8" s="34">
        <v>1000</v>
      </c>
      <c r="E8" s="26"/>
      <c r="F8" s="26">
        <v>580</v>
      </c>
      <c r="G8" s="26">
        <v>270</v>
      </c>
      <c r="H8" s="26">
        <v>645</v>
      </c>
      <c r="I8" s="26">
        <v>314</v>
      </c>
      <c r="J8" s="26">
        <v>285</v>
      </c>
      <c r="K8" s="26"/>
      <c r="L8" s="26"/>
      <c r="M8" s="26">
        <v>400</v>
      </c>
      <c r="N8" s="26"/>
      <c r="O8" s="26">
        <v>450</v>
      </c>
      <c r="P8" s="59">
        <v>322</v>
      </c>
      <c r="Q8" s="27">
        <v>230</v>
      </c>
      <c r="R8" s="65">
        <v>322</v>
      </c>
      <c r="S8" s="62">
        <v>440</v>
      </c>
      <c r="T8" s="68">
        <v>230</v>
      </c>
      <c r="U8" s="19" t="str" cm="1">
        <f t="array" ref="U8">_xlfn._xlws.FILTER($E$2:$S$2, E8:S8=MIN(E8:R8))</f>
        <v>vendor 13</v>
      </c>
    </row>
    <row r="9" spans="1:27" s="2" customFormat="1" ht="35.450000000000003">
      <c r="A9" s="2" t="s">
        <v>64</v>
      </c>
      <c r="B9" s="41">
        <v>4</v>
      </c>
      <c r="C9" s="42" t="s">
        <v>69</v>
      </c>
      <c r="D9" s="34">
        <v>500</v>
      </c>
      <c r="E9" s="26"/>
      <c r="F9" s="26">
        <v>420</v>
      </c>
      <c r="G9" s="27">
        <v>180</v>
      </c>
      <c r="H9" s="26">
        <v>420</v>
      </c>
      <c r="I9" s="26">
        <v>284</v>
      </c>
      <c r="J9" s="26">
        <v>227</v>
      </c>
      <c r="K9" s="26"/>
      <c r="L9" s="26"/>
      <c r="M9" s="26">
        <v>300</v>
      </c>
      <c r="N9" s="26"/>
      <c r="O9" s="26">
        <v>360</v>
      </c>
      <c r="P9" s="59">
        <v>218.5</v>
      </c>
      <c r="Q9" s="26">
        <v>330</v>
      </c>
      <c r="R9" s="65">
        <v>218.5</v>
      </c>
      <c r="S9" s="62">
        <v>360</v>
      </c>
      <c r="T9" s="68">
        <v>180</v>
      </c>
      <c r="U9" s="19" t="str" cm="1">
        <f t="array" ref="U9">_xlfn._xlws.FILTER($E$2:$S$2, E9:S9=MIN(E9:R9))</f>
        <v>vendor 3</v>
      </c>
    </row>
    <row r="10" spans="1:27" s="2" customFormat="1" ht="35.450000000000003">
      <c r="A10" s="2" t="s">
        <v>64</v>
      </c>
      <c r="B10" s="39"/>
      <c r="C10" s="40"/>
      <c r="D10" s="34">
        <v>1000</v>
      </c>
      <c r="E10" s="26"/>
      <c r="F10" s="26">
        <v>400</v>
      </c>
      <c r="G10" s="27">
        <v>180</v>
      </c>
      <c r="H10" s="26">
        <v>420</v>
      </c>
      <c r="I10" s="26">
        <v>269</v>
      </c>
      <c r="J10" s="26">
        <v>220</v>
      </c>
      <c r="K10" s="26"/>
      <c r="L10" s="26"/>
      <c r="M10" s="26">
        <v>260</v>
      </c>
      <c r="N10" s="26"/>
      <c r="O10" s="26">
        <v>300</v>
      </c>
      <c r="P10" s="59">
        <v>207</v>
      </c>
      <c r="Q10" s="26">
        <v>315</v>
      </c>
      <c r="R10" s="65">
        <v>207</v>
      </c>
      <c r="S10" s="62">
        <v>340</v>
      </c>
      <c r="T10" s="68">
        <v>180</v>
      </c>
      <c r="U10" s="19" t="str" cm="1">
        <f t="array" ref="U10">_xlfn._xlws.FILTER($E$2:$S$2, E10:S10=MIN(E10:R10))</f>
        <v>vendor 3</v>
      </c>
    </row>
    <row r="11" spans="1:27" s="2" customFormat="1" ht="35.450000000000003">
      <c r="A11" s="2" t="s">
        <v>64</v>
      </c>
      <c r="B11" s="41">
        <v>5</v>
      </c>
      <c r="C11" s="42" t="s">
        <v>70</v>
      </c>
      <c r="D11" s="34">
        <v>250</v>
      </c>
      <c r="E11" s="26"/>
      <c r="F11" s="26">
        <v>280</v>
      </c>
      <c r="G11" s="26">
        <v>130</v>
      </c>
      <c r="H11" s="59">
        <v>288</v>
      </c>
      <c r="I11" s="26">
        <v>157</v>
      </c>
      <c r="J11" s="27">
        <v>120</v>
      </c>
      <c r="K11" s="26"/>
      <c r="L11" s="26"/>
      <c r="M11" s="26">
        <v>200</v>
      </c>
      <c r="N11" s="26"/>
      <c r="O11" s="26">
        <v>350</v>
      </c>
      <c r="P11" s="59">
        <v>195</v>
      </c>
      <c r="Q11" s="26">
        <v>230</v>
      </c>
      <c r="R11" s="65">
        <v>149.5</v>
      </c>
      <c r="S11" s="62">
        <v>190</v>
      </c>
      <c r="T11" s="68">
        <v>120</v>
      </c>
      <c r="U11" s="19" t="str" cm="1">
        <f t="array" ref="U11">_xlfn._xlws.FILTER($E$2:$S$2, E11:S11=MIN(E11:R11))</f>
        <v>vendor 6</v>
      </c>
    </row>
    <row r="12" spans="1:27" s="2" customFormat="1" ht="35.450000000000003">
      <c r="A12" s="2" t="s">
        <v>64</v>
      </c>
      <c r="B12" s="39"/>
      <c r="C12" s="40"/>
      <c r="D12" s="34">
        <v>500</v>
      </c>
      <c r="E12" s="26"/>
      <c r="F12" s="26">
        <v>270</v>
      </c>
      <c r="G12" s="26">
        <v>130</v>
      </c>
      <c r="H12" s="26">
        <v>288</v>
      </c>
      <c r="I12" s="26">
        <v>127</v>
      </c>
      <c r="J12" s="27">
        <v>115</v>
      </c>
      <c r="K12" s="26"/>
      <c r="L12" s="26"/>
      <c r="M12" s="26">
        <v>180</v>
      </c>
      <c r="N12" s="26"/>
      <c r="O12" s="26">
        <v>250</v>
      </c>
      <c r="P12" s="59">
        <v>190</v>
      </c>
      <c r="Q12" s="26">
        <v>220</v>
      </c>
      <c r="R12" s="65">
        <v>149.5</v>
      </c>
      <c r="S12" s="62">
        <v>170</v>
      </c>
      <c r="T12" s="68">
        <v>115</v>
      </c>
      <c r="U12" s="19" t="str" cm="1">
        <f t="array" ref="U12">_xlfn._xlws.FILTER($E$2:$S$2, E12:S12=MIN(E12:R12))</f>
        <v>vendor 6</v>
      </c>
    </row>
    <row r="13" spans="1:27" s="2" customFormat="1" ht="35.450000000000003">
      <c r="A13" s="2" t="s">
        <v>64</v>
      </c>
      <c r="B13" s="37">
        <v>6</v>
      </c>
      <c r="C13" s="32" t="s">
        <v>71</v>
      </c>
      <c r="D13" s="34">
        <v>3000</v>
      </c>
      <c r="E13" s="27">
        <v>115</v>
      </c>
      <c r="F13" s="26">
        <v>190</v>
      </c>
      <c r="G13" s="26">
        <v>120</v>
      </c>
      <c r="H13" s="26">
        <f>190+10</f>
        <v>200</v>
      </c>
      <c r="I13" s="26">
        <v>327</v>
      </c>
      <c r="J13" s="26">
        <v>130</v>
      </c>
      <c r="K13" s="26"/>
      <c r="L13" s="26"/>
      <c r="M13" s="26">
        <v>150</v>
      </c>
      <c r="N13" s="26"/>
      <c r="O13" s="26">
        <v>200</v>
      </c>
      <c r="P13" s="59">
        <v>140.30000000000001</v>
      </c>
      <c r="Q13" s="26"/>
      <c r="R13" s="65">
        <v>140.30000000000001</v>
      </c>
      <c r="S13" s="62">
        <v>290</v>
      </c>
      <c r="T13" s="68">
        <v>115</v>
      </c>
      <c r="U13" s="19" t="str" cm="1">
        <f t="array" ref="U13">_xlfn._xlws.FILTER($E$2:$S$2, E13:S13=MIN(E13:R13))</f>
        <v>vendor 1</v>
      </c>
    </row>
    <row r="14" spans="1:27" s="2" customFormat="1" ht="35.450000000000003">
      <c r="A14" s="2" t="s">
        <v>64</v>
      </c>
      <c r="B14" s="41">
        <v>7</v>
      </c>
      <c r="C14" s="42" t="s">
        <v>72</v>
      </c>
      <c r="D14" s="34">
        <v>500</v>
      </c>
      <c r="E14" s="26"/>
      <c r="F14" s="255"/>
      <c r="G14" s="255">
        <v>1690</v>
      </c>
      <c r="H14" s="255"/>
      <c r="I14" s="255"/>
      <c r="J14" s="31">
        <v>1630</v>
      </c>
      <c r="K14" s="255"/>
      <c r="L14" s="255"/>
      <c r="M14" s="255"/>
      <c r="N14" s="255"/>
      <c r="O14" s="255" t="s">
        <v>73</v>
      </c>
      <c r="P14" s="255">
        <v>2127.5</v>
      </c>
      <c r="Q14" s="255"/>
      <c r="R14" s="65">
        <v>2127.5</v>
      </c>
      <c r="S14" s="58"/>
      <c r="T14" s="68">
        <v>1630</v>
      </c>
      <c r="U14" s="19" t="str" cm="1">
        <f t="array" ref="U14">_xlfn._xlws.FILTER($E$2:$S$2, E14:S14=MIN(E14:R14))</f>
        <v>vendor 6</v>
      </c>
    </row>
    <row r="15" spans="1:27" s="2" customFormat="1" ht="35.450000000000003">
      <c r="A15" s="2" t="s">
        <v>64</v>
      </c>
      <c r="B15" s="45"/>
      <c r="C15" s="44"/>
      <c r="D15" s="35">
        <v>1000</v>
      </c>
      <c r="E15" s="26"/>
      <c r="F15" s="255"/>
      <c r="G15" s="255">
        <v>1690</v>
      </c>
      <c r="H15" s="255"/>
      <c r="I15" s="255"/>
      <c r="J15" s="31">
        <v>1580</v>
      </c>
      <c r="K15" s="255"/>
      <c r="L15" s="255"/>
      <c r="M15" s="255"/>
      <c r="N15" s="255"/>
      <c r="O15" s="255" t="s">
        <v>73</v>
      </c>
      <c r="P15" s="255">
        <v>1725</v>
      </c>
      <c r="Q15" s="255"/>
      <c r="R15" s="65">
        <v>1725</v>
      </c>
      <c r="S15" s="58"/>
      <c r="T15" s="68">
        <v>1580</v>
      </c>
      <c r="U15" s="19" t="str" cm="1">
        <f t="array" ref="U15">_xlfn._xlws.FILTER($E$2:$S$2, E15:S15=MIN(E15:R15))</f>
        <v>vendor 6</v>
      </c>
    </row>
    <row r="16" spans="1:27" s="2" customFormat="1" ht="35.450000000000003">
      <c r="A16" s="2" t="s">
        <v>64</v>
      </c>
      <c r="B16" s="41">
        <v>8</v>
      </c>
      <c r="C16" s="42" t="s">
        <v>74</v>
      </c>
      <c r="D16" s="43">
        <v>500</v>
      </c>
      <c r="E16" s="26"/>
      <c r="F16" s="26">
        <v>95</v>
      </c>
      <c r="G16" s="27">
        <v>42</v>
      </c>
      <c r="H16" s="26">
        <v>100</v>
      </c>
      <c r="I16" s="26">
        <v>69</v>
      </c>
      <c r="J16" s="26">
        <v>58</v>
      </c>
      <c r="K16" s="26"/>
      <c r="L16" s="26"/>
      <c r="M16" s="26"/>
      <c r="N16" s="26"/>
      <c r="O16" s="26" t="s">
        <v>73</v>
      </c>
      <c r="P16" s="26">
        <v>117.3</v>
      </c>
      <c r="Q16" s="26">
        <v>215</v>
      </c>
      <c r="R16" s="65">
        <v>117.3</v>
      </c>
      <c r="S16" s="58"/>
      <c r="T16" s="68">
        <v>42</v>
      </c>
      <c r="U16" s="19" t="str" cm="1">
        <f t="array" ref="U16">_xlfn._xlws.FILTER($E$2:$S$2, E16:S16=MIN(E16:R16))</f>
        <v>vendor 3</v>
      </c>
    </row>
    <row r="17" spans="1:21" s="2" customFormat="1" ht="35.450000000000003">
      <c r="A17" s="2" t="s">
        <v>64</v>
      </c>
      <c r="B17" s="45"/>
      <c r="C17" s="44"/>
      <c r="D17" s="38">
        <v>1000</v>
      </c>
      <c r="E17" s="26"/>
      <c r="F17" s="26">
        <v>90</v>
      </c>
      <c r="G17" s="27">
        <v>42</v>
      </c>
      <c r="H17" s="26">
        <v>100</v>
      </c>
      <c r="I17" s="26">
        <v>62</v>
      </c>
      <c r="J17" s="26">
        <v>52</v>
      </c>
      <c r="K17" s="26"/>
      <c r="L17" s="26"/>
      <c r="M17" s="26"/>
      <c r="N17" s="26"/>
      <c r="O17" s="26" t="s">
        <v>73</v>
      </c>
      <c r="P17" s="26">
        <v>115</v>
      </c>
      <c r="Q17" s="26">
        <v>212</v>
      </c>
      <c r="R17" s="256">
        <v>115</v>
      </c>
      <c r="S17" s="58"/>
      <c r="T17" s="68">
        <v>42</v>
      </c>
      <c r="U17" s="19" t="str" cm="1">
        <f t="array" ref="U17">_xlfn._xlws.FILTER($E$2:$S$2, E17:S17=MIN(E17:R17))</f>
        <v>vendor 3</v>
      </c>
    </row>
    <row r="18" spans="1:21" s="2" customFormat="1" ht="35.450000000000003">
      <c r="A18" s="2" t="s">
        <v>64</v>
      </c>
      <c r="B18" s="45"/>
      <c r="C18" s="46"/>
      <c r="D18" s="43">
        <v>2000</v>
      </c>
      <c r="E18" s="26"/>
      <c r="F18" s="26">
        <v>85</v>
      </c>
      <c r="G18" s="27">
        <v>42</v>
      </c>
      <c r="H18" s="26">
        <v>100</v>
      </c>
      <c r="I18" s="26">
        <v>53</v>
      </c>
      <c r="J18" s="26">
        <v>48</v>
      </c>
      <c r="K18" s="26"/>
      <c r="L18" s="26"/>
      <c r="M18" s="26"/>
      <c r="N18" s="26"/>
      <c r="O18" s="26" t="s">
        <v>73</v>
      </c>
      <c r="P18" s="26">
        <v>110</v>
      </c>
      <c r="Q18" s="26">
        <v>203</v>
      </c>
      <c r="R18" s="65">
        <v>109.25</v>
      </c>
      <c r="S18" s="58"/>
      <c r="T18" s="68">
        <v>42</v>
      </c>
      <c r="U18" s="19" t="str" cm="1">
        <f t="array" ref="U18">_xlfn._xlws.FILTER($E$2:$S$2, E18:S18=MIN(E18:R18))</f>
        <v>vendor 3</v>
      </c>
    </row>
    <row r="19" spans="1:21" s="2" customFormat="1" ht="35.450000000000003">
      <c r="A19" s="2" t="s">
        <v>64</v>
      </c>
      <c r="B19" s="41">
        <v>9</v>
      </c>
      <c r="C19" s="48" t="s">
        <v>75</v>
      </c>
      <c r="D19" s="43">
        <v>500</v>
      </c>
      <c r="E19" s="26"/>
      <c r="F19" s="26">
        <v>150</v>
      </c>
      <c r="G19" s="27">
        <v>59</v>
      </c>
      <c r="H19" s="26">
        <v>180</v>
      </c>
      <c r="I19" s="26">
        <v>86</v>
      </c>
      <c r="J19" s="26">
        <v>86</v>
      </c>
      <c r="K19" s="26"/>
      <c r="L19" s="26"/>
      <c r="M19" s="26"/>
      <c r="N19" s="26"/>
      <c r="O19" s="26" t="s">
        <v>73</v>
      </c>
      <c r="P19" s="26">
        <v>227.7</v>
      </c>
      <c r="Q19" s="26">
        <v>430</v>
      </c>
      <c r="R19" s="65">
        <v>227.7</v>
      </c>
      <c r="S19" s="58"/>
      <c r="T19" s="68">
        <v>59</v>
      </c>
      <c r="U19" s="19" t="str" cm="1">
        <f t="array" ref="U19">_xlfn._xlws.FILTER($E$2:$S$2, E19:S19=MIN(E19:R19))</f>
        <v>vendor 3</v>
      </c>
    </row>
    <row r="20" spans="1:21" s="2" customFormat="1" ht="35.450000000000003">
      <c r="A20" s="2" t="s">
        <v>64</v>
      </c>
      <c r="B20" s="49"/>
      <c r="C20" s="44"/>
      <c r="D20" s="43">
        <v>1000</v>
      </c>
      <c r="E20" s="26"/>
      <c r="F20" s="26">
        <v>145</v>
      </c>
      <c r="G20" s="27">
        <v>59</v>
      </c>
      <c r="H20" s="26">
        <v>180</v>
      </c>
      <c r="I20" s="26">
        <v>77</v>
      </c>
      <c r="J20" s="26">
        <v>80</v>
      </c>
      <c r="K20" s="26"/>
      <c r="L20" s="26"/>
      <c r="M20" s="26"/>
      <c r="N20" s="59"/>
      <c r="O20" s="26" t="s">
        <v>73</v>
      </c>
      <c r="P20" s="26">
        <v>224.25</v>
      </c>
      <c r="Q20" s="30">
        <v>425</v>
      </c>
      <c r="R20" s="65">
        <v>224.25</v>
      </c>
      <c r="S20" s="58"/>
      <c r="T20" s="68">
        <v>59</v>
      </c>
      <c r="U20" s="19" t="str" cm="1">
        <f t="array" ref="U20">_xlfn._xlws.FILTER($E$2:$S$2, E20:S20=MIN(E20:R20))</f>
        <v>vendor 3</v>
      </c>
    </row>
    <row r="21" spans="1:21" s="2" customFormat="1" ht="35.450000000000003">
      <c r="A21" s="2" t="s">
        <v>64</v>
      </c>
      <c r="B21" s="49"/>
      <c r="C21" s="44"/>
      <c r="D21" s="43">
        <v>2000</v>
      </c>
      <c r="E21" s="26"/>
      <c r="F21" s="26">
        <v>135</v>
      </c>
      <c r="G21" s="27">
        <v>59</v>
      </c>
      <c r="H21" s="26">
        <v>180</v>
      </c>
      <c r="I21" s="26">
        <v>69</v>
      </c>
      <c r="J21" s="26">
        <v>78</v>
      </c>
      <c r="K21" s="26"/>
      <c r="L21" s="26"/>
      <c r="M21" s="26"/>
      <c r="N21" s="59"/>
      <c r="O21" s="26" t="s">
        <v>73</v>
      </c>
      <c r="P21" s="26">
        <v>218.5</v>
      </c>
      <c r="Q21" s="30">
        <v>410</v>
      </c>
      <c r="R21" s="65">
        <v>218.5</v>
      </c>
      <c r="S21" s="58"/>
      <c r="T21" s="68">
        <v>59</v>
      </c>
      <c r="U21" s="19" t="str" cm="1">
        <f t="array" ref="U21">_xlfn._xlws.FILTER($E$2:$S$2, E21:S21=MIN(E21:R21))</f>
        <v>vendor 3</v>
      </c>
    </row>
    <row r="22" spans="1:21" s="2" customFormat="1" ht="35.450000000000003">
      <c r="A22" s="2" t="s">
        <v>64</v>
      </c>
      <c r="B22" s="50">
        <v>10</v>
      </c>
      <c r="C22" s="42" t="s">
        <v>76</v>
      </c>
      <c r="D22" s="38">
        <v>100</v>
      </c>
      <c r="E22" s="26">
        <v>130</v>
      </c>
      <c r="F22" s="26"/>
      <c r="G22" s="27">
        <v>85</v>
      </c>
      <c r="H22" s="26"/>
      <c r="I22" s="26">
        <v>435</v>
      </c>
      <c r="J22" s="26">
        <v>130</v>
      </c>
      <c r="K22" s="26"/>
      <c r="L22" s="26"/>
      <c r="M22" s="26"/>
      <c r="N22" s="26"/>
      <c r="O22" s="26">
        <v>200</v>
      </c>
      <c r="P22" s="26">
        <v>97.75</v>
      </c>
      <c r="Q22" s="30">
        <v>150</v>
      </c>
      <c r="R22" s="65">
        <v>97.75</v>
      </c>
      <c r="S22" s="58"/>
      <c r="T22" s="68">
        <v>85</v>
      </c>
      <c r="U22" s="19" t="str" cm="1">
        <f t="array" ref="U22">_xlfn._xlws.FILTER($E$2:$S$2, E22:S22=MIN(E22:R22))</f>
        <v>vendor 3</v>
      </c>
    </row>
    <row r="23" spans="1:21" s="2" customFormat="1" ht="35.450000000000003">
      <c r="A23" s="2" t="s">
        <v>64</v>
      </c>
      <c r="B23" s="49"/>
      <c r="C23" s="44"/>
      <c r="D23" s="38">
        <v>300</v>
      </c>
      <c r="E23" s="26">
        <v>125</v>
      </c>
      <c r="F23" s="26"/>
      <c r="G23" s="27">
        <v>85</v>
      </c>
      <c r="H23" s="26"/>
      <c r="I23" s="26">
        <v>334</v>
      </c>
      <c r="J23" s="26">
        <v>120</v>
      </c>
      <c r="K23" s="26"/>
      <c r="L23" s="26"/>
      <c r="M23" s="26"/>
      <c r="N23" s="26"/>
      <c r="O23" s="26">
        <v>170</v>
      </c>
      <c r="P23" s="26">
        <v>94.3</v>
      </c>
      <c r="Q23" s="30">
        <v>145</v>
      </c>
      <c r="R23" s="65">
        <v>94.3</v>
      </c>
      <c r="S23" s="58"/>
      <c r="T23" s="68">
        <v>85</v>
      </c>
      <c r="U23" s="19" t="str" cm="1">
        <f t="array" ref="U23">_xlfn._xlws.FILTER($E$2:$S$2, E23:S23=MIN(E23:R23))</f>
        <v>vendor 3</v>
      </c>
    </row>
    <row r="24" spans="1:21" s="2" customFormat="1" ht="35.450000000000003">
      <c r="A24" s="2" t="s">
        <v>64</v>
      </c>
      <c r="B24" s="49"/>
      <c r="C24" s="44"/>
      <c r="D24" s="38">
        <v>500</v>
      </c>
      <c r="E24" s="26">
        <v>120</v>
      </c>
      <c r="F24" s="26"/>
      <c r="G24" s="26">
        <v>85</v>
      </c>
      <c r="H24" s="26"/>
      <c r="I24" s="26">
        <v>247</v>
      </c>
      <c r="J24" s="26">
        <v>110</v>
      </c>
      <c r="K24" s="26"/>
      <c r="L24" s="26"/>
      <c r="M24" s="26"/>
      <c r="N24" s="26"/>
      <c r="O24" s="26">
        <v>150</v>
      </c>
      <c r="P24" s="26">
        <v>90</v>
      </c>
      <c r="Q24" s="30">
        <v>140</v>
      </c>
      <c r="R24" s="66">
        <v>57.5</v>
      </c>
      <c r="S24" s="58"/>
      <c r="T24" s="68">
        <v>57.5</v>
      </c>
      <c r="U24" s="19" t="str" cm="1">
        <f t="array" ref="U24">_xlfn._xlws.FILTER($E$2:$S$2, E24:S24=MIN(E24:R24))</f>
        <v>vendor 14</v>
      </c>
    </row>
    <row r="25" spans="1:21" s="2" customFormat="1" ht="35.450000000000003">
      <c r="A25" s="2" t="s">
        <v>64</v>
      </c>
      <c r="B25" s="47"/>
      <c r="C25" s="40"/>
      <c r="D25" s="38">
        <v>1000</v>
      </c>
      <c r="E25" s="26">
        <v>115</v>
      </c>
      <c r="F25" s="26"/>
      <c r="G25" s="26">
        <v>85</v>
      </c>
      <c r="H25" s="26"/>
      <c r="I25" s="26">
        <v>218</v>
      </c>
      <c r="J25" s="26">
        <v>100</v>
      </c>
      <c r="K25" s="26"/>
      <c r="L25" s="26"/>
      <c r="M25" s="26"/>
      <c r="N25" s="26"/>
      <c r="O25" s="26">
        <v>120</v>
      </c>
      <c r="P25" s="26">
        <v>80.5</v>
      </c>
      <c r="Q25" s="30">
        <v>120</v>
      </c>
      <c r="R25" s="66">
        <v>57.5</v>
      </c>
      <c r="S25" s="58"/>
      <c r="T25" s="68">
        <v>57.5</v>
      </c>
      <c r="U25" s="19" t="str" cm="1">
        <f t="array" ref="U25">_xlfn._xlws.FILTER($E$2:$S$2, E25:S25=MIN(E25:R25))</f>
        <v>vendor 14</v>
      </c>
    </row>
    <row r="26" spans="1:21" s="2" customFormat="1" ht="35.450000000000003">
      <c r="A26" s="2" t="s">
        <v>64</v>
      </c>
      <c r="B26" s="49">
        <v>11</v>
      </c>
      <c r="C26" s="44" t="s">
        <v>77</v>
      </c>
      <c r="D26" s="34">
        <v>10000</v>
      </c>
      <c r="E26" s="26"/>
      <c r="F26" s="26"/>
      <c r="G26" s="26">
        <v>115</v>
      </c>
      <c r="H26" s="26"/>
      <c r="I26" s="26"/>
      <c r="J26" s="26">
        <v>108</v>
      </c>
      <c r="K26" s="26"/>
      <c r="L26" s="26"/>
      <c r="M26" s="26"/>
      <c r="N26" s="31">
        <v>83.5</v>
      </c>
      <c r="O26" s="59">
        <v>155</v>
      </c>
      <c r="P26" s="59">
        <v>143.5</v>
      </c>
      <c r="Q26" s="26"/>
      <c r="R26" s="67">
        <v>115</v>
      </c>
      <c r="S26" s="58"/>
      <c r="T26" s="68">
        <v>83.5</v>
      </c>
      <c r="U26" s="19" t="str" cm="1">
        <f t="array" ref="U26">_xlfn._xlws.FILTER($E$2:$S$2, E26:S26=MIN(E26:R26))</f>
        <v>vendor 10</v>
      </c>
    </row>
    <row r="27" spans="1:21" s="2" customFormat="1" ht="35.450000000000003">
      <c r="A27" s="2" t="s">
        <v>64</v>
      </c>
      <c r="B27" s="50">
        <v>12</v>
      </c>
      <c r="C27" s="42" t="s">
        <v>78</v>
      </c>
      <c r="D27" s="38">
        <v>300</v>
      </c>
      <c r="E27" s="26">
        <v>25</v>
      </c>
      <c r="F27" s="26">
        <v>60</v>
      </c>
      <c r="G27" s="27">
        <v>19</v>
      </c>
      <c r="H27" s="26"/>
      <c r="I27" s="63">
        <v>21.35</v>
      </c>
      <c r="J27" s="26">
        <v>65</v>
      </c>
      <c r="K27" s="26">
        <v>30</v>
      </c>
      <c r="L27" s="26"/>
      <c r="M27" s="63">
        <v>20</v>
      </c>
      <c r="N27" s="59"/>
      <c r="O27" s="59" t="s">
        <v>73</v>
      </c>
      <c r="P27" s="59">
        <v>94.3</v>
      </c>
      <c r="Q27" s="26">
        <v>85</v>
      </c>
      <c r="R27" s="67">
        <v>35</v>
      </c>
      <c r="S27" s="58"/>
      <c r="T27" s="68">
        <v>19</v>
      </c>
      <c r="U27" s="19" t="str" cm="1">
        <f t="array" ref="U27">_xlfn._xlws.FILTER($E$2:$S$2, E27:S27=MIN(E27:R27))</f>
        <v>vendor 3</v>
      </c>
    </row>
    <row r="28" spans="1:21" s="2" customFormat="1" ht="35.450000000000003">
      <c r="A28" s="2" t="s">
        <v>64</v>
      </c>
      <c r="B28" s="45"/>
      <c r="C28" s="44"/>
      <c r="D28" s="38">
        <v>500</v>
      </c>
      <c r="E28" s="26">
        <v>23</v>
      </c>
      <c r="F28" s="26">
        <v>54</v>
      </c>
      <c r="G28" s="27">
        <v>18.5</v>
      </c>
      <c r="H28" s="26"/>
      <c r="I28" s="63">
        <v>19.350000000000001</v>
      </c>
      <c r="J28" s="26">
        <v>45</v>
      </c>
      <c r="K28" s="26">
        <v>28</v>
      </c>
      <c r="L28" s="26"/>
      <c r="M28" s="63">
        <v>20</v>
      </c>
      <c r="N28" s="26"/>
      <c r="O28" s="26" t="s">
        <v>73</v>
      </c>
      <c r="P28" s="26">
        <v>21.85</v>
      </c>
      <c r="Q28" s="26">
        <v>82</v>
      </c>
      <c r="R28" s="65">
        <v>21.85</v>
      </c>
      <c r="S28" s="58"/>
      <c r="T28" s="68">
        <v>18.5</v>
      </c>
      <c r="U28" s="19" t="str" cm="1">
        <f t="array" ref="U28">_xlfn._xlws.FILTER($E$2:$S$2, E28:S28=MIN(E28:R28))</f>
        <v>vendor 3</v>
      </c>
    </row>
    <row r="29" spans="1:21" s="2" customFormat="1" ht="35.450000000000003">
      <c r="A29" s="2" t="s">
        <v>64</v>
      </c>
      <c r="B29" s="45"/>
      <c r="C29" s="44"/>
      <c r="D29" s="38">
        <v>1000</v>
      </c>
      <c r="E29" s="26">
        <v>22</v>
      </c>
      <c r="F29" s="26">
        <v>48</v>
      </c>
      <c r="G29" s="26">
        <v>17</v>
      </c>
      <c r="H29" s="26"/>
      <c r="I29" s="26">
        <v>17.95</v>
      </c>
      <c r="J29" s="26">
        <v>30</v>
      </c>
      <c r="K29" s="27">
        <v>12</v>
      </c>
      <c r="L29" s="26"/>
      <c r="M29" s="26">
        <v>20</v>
      </c>
      <c r="N29" s="26"/>
      <c r="O29" s="26" t="s">
        <v>73</v>
      </c>
      <c r="P29" s="26">
        <v>18.399999999999999</v>
      </c>
      <c r="Q29" s="26">
        <v>81</v>
      </c>
      <c r="R29" s="65">
        <v>18.399999999999999</v>
      </c>
      <c r="S29" s="58"/>
      <c r="T29" s="68">
        <v>12</v>
      </c>
      <c r="U29" s="19" t="str" cm="1">
        <f t="array" ref="U29">_xlfn._xlws.FILTER($E$2:$S$2, E29:S29=MIN(E29:R29))</f>
        <v>vendor 7</v>
      </c>
    </row>
    <row r="30" spans="1:21" s="2" customFormat="1" ht="35.450000000000003">
      <c r="A30" s="2" t="s">
        <v>64</v>
      </c>
      <c r="B30" s="45"/>
      <c r="C30" s="44"/>
      <c r="D30" s="38">
        <v>3000</v>
      </c>
      <c r="E30" s="26">
        <v>21</v>
      </c>
      <c r="F30" s="26">
        <v>45.5</v>
      </c>
      <c r="G30" s="26">
        <v>12</v>
      </c>
      <c r="H30" s="26"/>
      <c r="I30" s="26">
        <v>16.940000000000001</v>
      </c>
      <c r="J30" s="26">
        <v>16</v>
      </c>
      <c r="K30" s="27">
        <v>10</v>
      </c>
      <c r="L30" s="26"/>
      <c r="M30" s="26">
        <v>20</v>
      </c>
      <c r="N30" s="26"/>
      <c r="O30" s="26" t="s">
        <v>73</v>
      </c>
      <c r="P30" s="26">
        <v>17.25</v>
      </c>
      <c r="Q30" s="26">
        <v>80</v>
      </c>
      <c r="R30" s="65">
        <v>17.25</v>
      </c>
      <c r="S30" s="58"/>
      <c r="T30" s="68">
        <v>10</v>
      </c>
      <c r="U30" s="19" t="str" cm="1">
        <f t="array" ref="U30">_xlfn._xlws.FILTER($E$2:$S$2, E30:S30=MIN(E30:R30))</f>
        <v>vendor 7</v>
      </c>
    </row>
    <row r="31" spans="1:21" s="2" customFormat="1" ht="35.450000000000003">
      <c r="A31" s="2" t="s">
        <v>64</v>
      </c>
      <c r="B31" s="45"/>
      <c r="C31" s="44"/>
      <c r="D31" s="38">
        <v>5000</v>
      </c>
      <c r="E31" s="26">
        <v>20</v>
      </c>
      <c r="F31" s="26">
        <v>42</v>
      </c>
      <c r="G31" s="26">
        <v>9.75</v>
      </c>
      <c r="H31" s="26"/>
      <c r="I31" s="26">
        <v>16.34</v>
      </c>
      <c r="J31" s="26">
        <v>12</v>
      </c>
      <c r="K31" s="27">
        <v>9</v>
      </c>
      <c r="L31" s="26"/>
      <c r="M31" s="26">
        <v>20</v>
      </c>
      <c r="N31" s="26"/>
      <c r="O31" s="26" t="s">
        <v>73</v>
      </c>
      <c r="P31" s="26">
        <v>15</v>
      </c>
      <c r="Q31" s="26">
        <v>78</v>
      </c>
      <c r="R31" s="65">
        <v>14.95</v>
      </c>
      <c r="S31" s="58"/>
      <c r="T31" s="68">
        <v>9</v>
      </c>
      <c r="U31" s="19" t="str" cm="1">
        <f t="array" ref="U31">_xlfn._xlws.FILTER($E$2:$S$2, E31:S31=MIN(E31:R31))</f>
        <v>vendor 7</v>
      </c>
    </row>
    <row r="32" spans="1:21" s="2" customFormat="1" ht="35.450000000000003">
      <c r="A32" s="2" t="s">
        <v>64</v>
      </c>
      <c r="B32" s="45"/>
      <c r="C32" s="44"/>
      <c r="D32" s="38">
        <v>8000</v>
      </c>
      <c r="E32" s="26">
        <v>19</v>
      </c>
      <c r="F32" s="26">
        <v>39.5</v>
      </c>
      <c r="G32" s="26">
        <v>8.75</v>
      </c>
      <c r="H32" s="26"/>
      <c r="I32" s="26">
        <v>15.95</v>
      </c>
      <c r="J32" s="26">
        <v>11</v>
      </c>
      <c r="K32" s="27">
        <v>7</v>
      </c>
      <c r="L32" s="26"/>
      <c r="M32" s="26">
        <v>20</v>
      </c>
      <c r="N32" s="26"/>
      <c r="O32" s="26" t="s">
        <v>73</v>
      </c>
      <c r="P32" s="59">
        <v>11.5</v>
      </c>
      <c r="Q32" s="26">
        <v>75</v>
      </c>
      <c r="R32" s="65">
        <v>11.5</v>
      </c>
      <c r="S32" s="58"/>
      <c r="T32" s="68">
        <v>7</v>
      </c>
      <c r="U32" s="19" t="str" cm="1">
        <f t="array" ref="U32">_xlfn._xlws.FILTER($E$2:$S$2, E32:S32=MIN(E32:R32))</f>
        <v>vendor 7</v>
      </c>
    </row>
    <row r="33" spans="1:21" s="2" customFormat="1" ht="35.450000000000003">
      <c r="A33" s="2" t="s">
        <v>64</v>
      </c>
      <c r="B33" s="45"/>
      <c r="C33" s="44"/>
      <c r="D33" s="38">
        <v>10000</v>
      </c>
      <c r="E33" s="26">
        <v>18</v>
      </c>
      <c r="F33" s="26">
        <v>36</v>
      </c>
      <c r="G33" s="26">
        <v>8.4</v>
      </c>
      <c r="H33" s="26"/>
      <c r="I33" s="26">
        <v>15.6</v>
      </c>
      <c r="J33" s="26">
        <v>10</v>
      </c>
      <c r="K33" s="27">
        <v>7</v>
      </c>
      <c r="L33" s="26"/>
      <c r="M33" s="26">
        <v>20</v>
      </c>
      <c r="N33" s="26"/>
      <c r="O33" s="26" t="s">
        <v>73</v>
      </c>
      <c r="P33" s="59">
        <v>10.06</v>
      </c>
      <c r="Q33" s="26">
        <v>74</v>
      </c>
      <c r="R33" s="65">
        <v>10.06</v>
      </c>
      <c r="S33" s="58"/>
      <c r="T33" s="68">
        <v>7</v>
      </c>
      <c r="U33" s="19" t="str" cm="1">
        <f t="array" ref="U33">_xlfn._xlws.FILTER($E$2:$S$2, E33:S33=MIN(E33:R33))</f>
        <v>vendor 7</v>
      </c>
    </row>
    <row r="34" spans="1:21" s="2" customFormat="1" ht="35.450000000000003">
      <c r="A34" s="2" t="s">
        <v>64</v>
      </c>
      <c r="B34" s="45"/>
      <c r="C34" s="44"/>
      <c r="D34" s="38">
        <v>15000</v>
      </c>
      <c r="E34" s="26">
        <v>18</v>
      </c>
      <c r="F34" s="26">
        <v>33.5</v>
      </c>
      <c r="G34" s="26">
        <v>7.9</v>
      </c>
      <c r="H34" s="26"/>
      <c r="I34" s="26">
        <v>13.8</v>
      </c>
      <c r="J34" s="26">
        <v>9</v>
      </c>
      <c r="K34" s="27">
        <v>7</v>
      </c>
      <c r="L34" s="26"/>
      <c r="M34" s="26">
        <v>20</v>
      </c>
      <c r="N34" s="26"/>
      <c r="O34" s="26" t="s">
        <v>73</v>
      </c>
      <c r="P34" s="59">
        <v>9.1999999999999993</v>
      </c>
      <c r="Q34" s="26">
        <v>72</v>
      </c>
      <c r="R34" s="65">
        <v>9.1999999999999993</v>
      </c>
      <c r="S34" s="58"/>
      <c r="T34" s="68">
        <v>7</v>
      </c>
      <c r="U34" s="19" t="str" cm="1">
        <f t="array" ref="U34">_xlfn._xlws.FILTER($E$2:$S$2, E34:S34=MIN(E34:R34))</f>
        <v>vendor 7</v>
      </c>
    </row>
    <row r="35" spans="1:21" s="2" customFormat="1" ht="35.450000000000003">
      <c r="A35" s="2" t="s">
        <v>64</v>
      </c>
      <c r="B35" s="41">
        <v>13</v>
      </c>
      <c r="C35" s="42" t="s">
        <v>79</v>
      </c>
      <c r="D35" s="38">
        <v>1000</v>
      </c>
      <c r="E35" s="26"/>
      <c r="F35" s="26">
        <v>220</v>
      </c>
      <c r="G35" s="26">
        <v>198</v>
      </c>
      <c r="H35" s="26"/>
      <c r="I35" s="26"/>
      <c r="J35" s="26"/>
      <c r="K35" s="26"/>
      <c r="L35" s="26">
        <v>279</v>
      </c>
      <c r="M35" s="27">
        <v>120</v>
      </c>
      <c r="N35" s="26"/>
      <c r="O35" s="26">
        <v>450</v>
      </c>
      <c r="P35" s="59">
        <v>210</v>
      </c>
      <c r="Q35" s="26"/>
      <c r="R35" s="65"/>
      <c r="S35" s="58"/>
      <c r="T35" s="68">
        <v>120</v>
      </c>
      <c r="U35" s="19" t="str" cm="1">
        <f t="array" ref="U35">_xlfn._xlws.FILTER($E$2:$S$2, E35:S35=MIN(E35:R35))</f>
        <v>vendor 9</v>
      </c>
    </row>
    <row r="36" spans="1:21" s="2" customFormat="1" ht="35.450000000000003">
      <c r="A36" s="2" t="s">
        <v>64</v>
      </c>
      <c r="B36" s="45"/>
      <c r="C36" s="44"/>
      <c r="D36" s="38">
        <v>3000</v>
      </c>
      <c r="E36" s="26"/>
      <c r="F36" s="26">
        <v>200</v>
      </c>
      <c r="G36" s="26">
        <v>166</v>
      </c>
      <c r="H36" s="26"/>
      <c r="I36" s="26"/>
      <c r="J36" s="26"/>
      <c r="K36" s="26"/>
      <c r="L36" s="26">
        <v>261</v>
      </c>
      <c r="M36" s="27">
        <v>120</v>
      </c>
      <c r="N36" s="26"/>
      <c r="O36" s="26">
        <v>400</v>
      </c>
      <c r="P36" s="59">
        <v>205</v>
      </c>
      <c r="Q36" s="26"/>
      <c r="R36" s="65"/>
      <c r="S36" s="58"/>
      <c r="T36" s="68">
        <v>120</v>
      </c>
      <c r="U36" s="19" t="str" cm="1">
        <f t="array" ref="U36">_xlfn._xlws.FILTER($E$2:$S$2, E36:S36=MIN(E36:R36))</f>
        <v>vendor 9</v>
      </c>
    </row>
    <row r="37" spans="1:21" s="2" customFormat="1" ht="35.450000000000003">
      <c r="A37" s="2" t="s">
        <v>64</v>
      </c>
      <c r="B37" s="45"/>
      <c r="C37" s="44"/>
      <c r="D37" s="38">
        <v>5000</v>
      </c>
      <c r="E37" s="26"/>
      <c r="F37" s="26">
        <v>195</v>
      </c>
      <c r="G37" s="26">
        <v>165</v>
      </c>
      <c r="H37" s="59"/>
      <c r="I37" s="26"/>
      <c r="J37" s="26"/>
      <c r="K37" s="26"/>
      <c r="L37" s="26">
        <v>251</v>
      </c>
      <c r="M37" s="27">
        <v>120</v>
      </c>
      <c r="N37" s="26"/>
      <c r="O37" s="26">
        <v>350</v>
      </c>
      <c r="P37" s="59">
        <v>200</v>
      </c>
      <c r="Q37" s="26"/>
      <c r="R37" s="65"/>
      <c r="S37" s="58"/>
      <c r="T37" s="68">
        <v>120</v>
      </c>
      <c r="U37" s="19" t="str" cm="1">
        <f t="array" ref="U37">_xlfn._xlws.FILTER($E$2:$S$2, E37:S37=MIN(E37:R37))</f>
        <v>vendor 9</v>
      </c>
    </row>
    <row r="38" spans="1:21" s="2" customFormat="1" ht="35.450000000000003">
      <c r="A38" s="2" t="s">
        <v>64</v>
      </c>
      <c r="B38" s="45"/>
      <c r="C38" s="44"/>
      <c r="D38" s="38">
        <v>8000</v>
      </c>
      <c r="E38" s="26"/>
      <c r="F38" s="26">
        <v>185</v>
      </c>
      <c r="G38" s="26">
        <v>164.5</v>
      </c>
      <c r="H38" s="26"/>
      <c r="I38" s="26"/>
      <c r="J38" s="26"/>
      <c r="K38" s="26"/>
      <c r="L38" s="26">
        <v>245</v>
      </c>
      <c r="M38" s="27">
        <v>120</v>
      </c>
      <c r="N38" s="26"/>
      <c r="O38" s="26">
        <v>300</v>
      </c>
      <c r="P38" s="59">
        <v>190</v>
      </c>
      <c r="Q38" s="26"/>
      <c r="R38" s="65"/>
      <c r="S38" s="58"/>
      <c r="T38" s="68">
        <v>120</v>
      </c>
      <c r="U38" s="19" t="str" cm="1">
        <f t="array" ref="U38">_xlfn._xlws.FILTER($E$2:$S$2, E38:S38=MIN(E38:R38))</f>
        <v>vendor 9</v>
      </c>
    </row>
    <row r="39" spans="1:21" s="2" customFormat="1" ht="35.450000000000003">
      <c r="A39" s="2" t="s">
        <v>64</v>
      </c>
      <c r="B39" s="39"/>
      <c r="C39" s="40"/>
      <c r="D39" s="38">
        <v>10000</v>
      </c>
      <c r="E39" s="26"/>
      <c r="F39" s="26">
        <v>182</v>
      </c>
      <c r="G39" s="26">
        <v>162</v>
      </c>
      <c r="H39" s="26"/>
      <c r="I39" s="26"/>
      <c r="J39" s="26"/>
      <c r="K39" s="26"/>
      <c r="L39" s="26">
        <v>239</v>
      </c>
      <c r="M39" s="27">
        <v>120</v>
      </c>
      <c r="N39" s="26"/>
      <c r="O39" s="26">
        <v>250</v>
      </c>
      <c r="P39" s="59">
        <v>175</v>
      </c>
      <c r="Q39" s="26"/>
      <c r="R39" s="65"/>
      <c r="S39" s="58"/>
      <c r="T39" s="68">
        <v>120</v>
      </c>
      <c r="U39" s="19" t="str" cm="1">
        <f t="array" ref="U39">_xlfn._xlws.FILTER($E$2:$S$2, E39:S39=MIN(E39:R39))</f>
        <v>vendor 9</v>
      </c>
    </row>
    <row r="40" spans="1:21" s="51" customFormat="1" ht="35.450000000000003">
      <c r="B40" s="52"/>
      <c r="C40" s="334" t="s">
        <v>80</v>
      </c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</row>
    <row r="41" spans="1:21" ht="35.450000000000003">
      <c r="C41" s="334" t="s">
        <v>81</v>
      </c>
      <c r="D41" s="334"/>
      <c r="E41" s="334"/>
      <c r="F41" s="334"/>
      <c r="G41" s="334"/>
      <c r="H41" s="334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4"/>
      <c r="T41" s="334"/>
      <c r="U41" s="334"/>
    </row>
  </sheetData>
  <mergeCells count="3">
    <mergeCell ref="C41:U41"/>
    <mergeCell ref="B1:T1"/>
    <mergeCell ref="C40:U40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E17B-C4A3-4BF1-92D1-DA3210A18BF3}">
  <sheetPr>
    <outlinePr summaryBelow="0" summaryRight="0"/>
    <pageSetUpPr fitToPage="1"/>
  </sheetPr>
  <dimension ref="A1:X66"/>
  <sheetViews>
    <sheetView showGridLines="0" zoomScale="40" zoomScaleNormal="40" zoomScaleSheetLayoutView="85" zoomScalePageLayoutView="90" workbookViewId="0">
      <pane ySplit="2" topLeftCell="A53" activePane="bottomLeft" state="frozen"/>
      <selection pane="bottomLeft" activeCell="N57" sqref="N57:O64"/>
      <selection activeCell="G211" sqref="G211"/>
    </sheetView>
  </sheetViews>
  <sheetFormatPr defaultColWidth="14.42578125" defaultRowHeight="35.450000000000003"/>
  <cols>
    <col min="1" max="1" width="19" style="74" customWidth="1"/>
    <col min="2" max="2" width="9.42578125" style="90" bestFit="1" customWidth="1"/>
    <col min="3" max="3" width="82.42578125" style="70" customWidth="1"/>
    <col min="4" max="4" width="21.85546875" style="74" bestFit="1" customWidth="1"/>
    <col min="5" max="5" width="8.7109375" style="74" bestFit="1" customWidth="1"/>
    <col min="6" max="6" width="11.7109375" style="74" bestFit="1" customWidth="1"/>
    <col min="7" max="7" width="10.5703125" style="74" bestFit="1" customWidth="1"/>
    <col min="8" max="8" width="10.42578125" style="74" bestFit="1" customWidth="1"/>
    <col min="9" max="9" width="13" style="74" bestFit="1" customWidth="1"/>
    <col min="10" max="10" width="10.85546875" style="74" bestFit="1" customWidth="1"/>
    <col min="11" max="11" width="15.85546875" style="74" bestFit="1" customWidth="1"/>
    <col min="12" max="12" width="11.28515625" style="74" bestFit="1" customWidth="1"/>
    <col min="13" max="13" width="13.5703125" style="74" customWidth="1"/>
    <col min="14" max="14" width="18.140625" style="74" bestFit="1" customWidth="1"/>
    <col min="15" max="15" width="41.5703125" style="74" customWidth="1"/>
    <col min="16" max="16" width="255.5703125" style="74" bestFit="1" customWidth="1"/>
    <col min="17" max="16384" width="14.42578125" style="74"/>
  </cols>
  <sheetData>
    <row r="1" spans="1:24" s="257" customFormat="1" ht="45" customHeight="1">
      <c r="B1" s="346" t="s">
        <v>82</v>
      </c>
      <c r="C1" s="346"/>
      <c r="D1" s="258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3" t="s">
        <v>83</v>
      </c>
    </row>
    <row r="2" spans="1:24" s="73" customFormat="1" ht="106.5">
      <c r="A2" s="70" t="s">
        <v>84</v>
      </c>
      <c r="B2" s="236" t="s">
        <v>3</v>
      </c>
      <c r="C2" s="57" t="s">
        <v>4</v>
      </c>
      <c r="D2" s="237" t="s">
        <v>85</v>
      </c>
      <c r="E2" s="95" t="s">
        <v>9</v>
      </c>
      <c r="F2" s="95" t="s">
        <v>10</v>
      </c>
      <c r="G2" s="95" t="s">
        <v>11</v>
      </c>
      <c r="H2" s="95" t="s">
        <v>12</v>
      </c>
      <c r="I2" s="95" t="s">
        <v>13</v>
      </c>
      <c r="J2" s="95" t="s">
        <v>14</v>
      </c>
      <c r="K2" s="95" t="s">
        <v>15</v>
      </c>
      <c r="L2" s="95" t="s">
        <v>16</v>
      </c>
      <c r="M2" s="95" t="s">
        <v>17</v>
      </c>
      <c r="N2" s="54" t="s">
        <v>23</v>
      </c>
      <c r="O2" s="56" t="s">
        <v>24</v>
      </c>
      <c r="P2" s="71"/>
      <c r="Q2" s="72"/>
      <c r="R2" s="72"/>
      <c r="S2" s="72"/>
      <c r="T2" s="72"/>
      <c r="U2" s="72"/>
      <c r="V2" s="72"/>
      <c r="W2" s="72"/>
      <c r="X2" s="72"/>
    </row>
    <row r="3" spans="1:24">
      <c r="A3" s="74" t="s">
        <v>84</v>
      </c>
      <c r="B3" s="75">
        <v>1</v>
      </c>
      <c r="C3" s="344" t="s">
        <v>86</v>
      </c>
      <c r="D3" s="92" t="s">
        <v>87</v>
      </c>
      <c r="E3" s="76">
        <v>85</v>
      </c>
      <c r="F3" s="76">
        <v>100</v>
      </c>
      <c r="G3" s="76">
        <v>80</v>
      </c>
      <c r="H3" s="76">
        <v>98</v>
      </c>
      <c r="I3" s="76">
        <v>85</v>
      </c>
      <c r="J3" s="94">
        <v>90</v>
      </c>
      <c r="K3" s="76">
        <v>95</v>
      </c>
      <c r="L3" s="76"/>
      <c r="M3" s="76">
        <v>95</v>
      </c>
      <c r="N3" s="88">
        <v>90</v>
      </c>
      <c r="O3" s="76" t="str" cm="1">
        <f t="array" ref="O3">_xlfn._xlws.FILTER($E$2:$M$2, E3:M3=MIN(E3:M3))</f>
        <v>Vendor 3</v>
      </c>
      <c r="P3" s="74" t="s">
        <v>88</v>
      </c>
    </row>
    <row r="4" spans="1:24">
      <c r="A4" s="74" t="s">
        <v>84</v>
      </c>
      <c r="B4" s="77"/>
      <c r="C4" s="345"/>
      <c r="D4" s="92" t="s">
        <v>89</v>
      </c>
      <c r="E4" s="76">
        <v>85</v>
      </c>
      <c r="F4" s="76">
        <v>95</v>
      </c>
      <c r="G4" s="76">
        <v>75</v>
      </c>
      <c r="H4" s="76">
        <v>95</v>
      </c>
      <c r="I4" s="76">
        <v>85</v>
      </c>
      <c r="J4" s="94">
        <v>90</v>
      </c>
      <c r="K4" s="76">
        <v>90</v>
      </c>
      <c r="L4" s="76"/>
      <c r="M4" s="76">
        <v>95</v>
      </c>
      <c r="N4" s="88">
        <v>90</v>
      </c>
      <c r="O4" s="76" t="str" cm="1">
        <f t="array" ref="O4">_xlfn._xlws.FILTER($E$2:$M$2, E4:M4=MIN(E4:M4))</f>
        <v>Vendor 3</v>
      </c>
      <c r="P4" s="74" t="s">
        <v>90</v>
      </c>
    </row>
    <row r="5" spans="1:24">
      <c r="A5" s="74" t="s">
        <v>84</v>
      </c>
      <c r="B5" s="77"/>
      <c r="C5" s="345"/>
      <c r="D5" s="92" t="s">
        <v>91</v>
      </c>
      <c r="E5" s="76">
        <v>80</v>
      </c>
      <c r="F5" s="76">
        <v>90</v>
      </c>
      <c r="G5" s="76">
        <v>75</v>
      </c>
      <c r="H5" s="76">
        <v>90</v>
      </c>
      <c r="I5" s="76">
        <v>80</v>
      </c>
      <c r="J5" s="94">
        <v>90</v>
      </c>
      <c r="K5" s="76">
        <v>87.5</v>
      </c>
      <c r="L5" s="76"/>
      <c r="M5" s="76">
        <v>85</v>
      </c>
      <c r="N5" s="88">
        <v>90</v>
      </c>
      <c r="O5" s="76" t="str" cm="1">
        <f t="array" ref="O5">_xlfn._xlws.FILTER($E$2:$M$2, E5:M5=MIN(E5:M5))</f>
        <v>Vendor 3</v>
      </c>
      <c r="P5" s="74" t="s">
        <v>92</v>
      </c>
    </row>
    <row r="6" spans="1:24">
      <c r="A6" s="74" t="s">
        <v>84</v>
      </c>
      <c r="B6" s="77"/>
      <c r="C6" s="345"/>
      <c r="D6" s="92" t="s">
        <v>93</v>
      </c>
      <c r="E6" s="76">
        <v>80</v>
      </c>
      <c r="F6" s="76">
        <v>85</v>
      </c>
      <c r="G6" s="76">
        <v>75</v>
      </c>
      <c r="H6" s="76">
        <v>85</v>
      </c>
      <c r="I6" s="76">
        <v>75</v>
      </c>
      <c r="J6" s="94">
        <v>80</v>
      </c>
      <c r="K6" s="76">
        <v>85</v>
      </c>
      <c r="L6" s="76"/>
      <c r="M6" s="76">
        <v>85</v>
      </c>
      <c r="N6" s="88">
        <v>80</v>
      </c>
      <c r="O6" s="76" t="s">
        <v>14</v>
      </c>
      <c r="P6" s="74" t="s">
        <v>94</v>
      </c>
    </row>
    <row r="7" spans="1:24">
      <c r="A7" s="74" t="s">
        <v>84</v>
      </c>
      <c r="B7" s="77"/>
      <c r="C7" s="345"/>
      <c r="D7" s="92" t="s">
        <v>95</v>
      </c>
      <c r="E7" s="76">
        <v>80</v>
      </c>
      <c r="F7" s="76">
        <v>80</v>
      </c>
      <c r="G7" s="76">
        <v>75</v>
      </c>
      <c r="H7" s="76">
        <v>80</v>
      </c>
      <c r="I7" s="76">
        <v>75</v>
      </c>
      <c r="J7" s="94">
        <v>80</v>
      </c>
      <c r="K7" s="76">
        <v>83</v>
      </c>
      <c r="L7" s="76"/>
      <c r="M7" s="76">
        <v>80</v>
      </c>
      <c r="N7" s="88">
        <v>80</v>
      </c>
      <c r="O7" s="76" t="s">
        <v>15</v>
      </c>
      <c r="P7" s="74" t="s">
        <v>96</v>
      </c>
    </row>
    <row r="8" spans="1:24">
      <c r="A8" s="74" t="s">
        <v>84</v>
      </c>
      <c r="B8" s="77"/>
      <c r="C8" s="345"/>
      <c r="D8" s="92" t="s">
        <v>97</v>
      </c>
      <c r="E8" s="76">
        <v>78</v>
      </c>
      <c r="F8" s="76">
        <v>75</v>
      </c>
      <c r="G8" s="76">
        <v>75</v>
      </c>
      <c r="H8" s="76">
        <v>75</v>
      </c>
      <c r="I8" s="76">
        <v>69</v>
      </c>
      <c r="J8" s="94">
        <v>70</v>
      </c>
      <c r="K8" s="76">
        <v>82</v>
      </c>
      <c r="L8" s="76"/>
      <c r="M8" s="76">
        <v>80</v>
      </c>
      <c r="N8" s="88">
        <v>70</v>
      </c>
      <c r="O8" s="76" t="s">
        <v>16</v>
      </c>
      <c r="P8" s="74" t="s">
        <v>98</v>
      </c>
    </row>
    <row r="9" spans="1:24">
      <c r="A9" s="74" t="s">
        <v>84</v>
      </c>
      <c r="B9" s="77"/>
      <c r="C9" s="345"/>
      <c r="D9" s="92" t="s">
        <v>99</v>
      </c>
      <c r="E9" s="76">
        <v>78</v>
      </c>
      <c r="F9" s="76">
        <v>70</v>
      </c>
      <c r="G9" s="76">
        <v>70</v>
      </c>
      <c r="H9" s="76">
        <v>69</v>
      </c>
      <c r="I9" s="76">
        <v>69</v>
      </c>
      <c r="J9" s="94">
        <v>70</v>
      </c>
      <c r="K9" s="76">
        <v>80</v>
      </c>
      <c r="L9" s="76">
        <v>135</v>
      </c>
      <c r="M9" s="76">
        <v>80</v>
      </c>
      <c r="N9" s="88">
        <v>70</v>
      </c>
      <c r="O9" s="76" t="s">
        <v>17</v>
      </c>
      <c r="P9" s="74" t="s">
        <v>100</v>
      </c>
    </row>
    <row r="10" spans="1:24">
      <c r="A10" s="74" t="s">
        <v>84</v>
      </c>
      <c r="B10" s="78">
        <v>2</v>
      </c>
      <c r="C10" s="343" t="s">
        <v>101</v>
      </c>
      <c r="D10" s="92" t="s">
        <v>87</v>
      </c>
      <c r="E10" s="76">
        <v>160</v>
      </c>
      <c r="F10" s="76">
        <v>190</v>
      </c>
      <c r="G10" s="76">
        <v>160</v>
      </c>
      <c r="H10" s="76">
        <v>190</v>
      </c>
      <c r="I10" s="94">
        <v>155</v>
      </c>
      <c r="J10" s="76">
        <v>170</v>
      </c>
      <c r="K10" s="76">
        <v>175</v>
      </c>
      <c r="L10" s="76"/>
      <c r="M10" s="76" t="s">
        <v>102</v>
      </c>
      <c r="N10" s="88">
        <f t="shared" ref="N10:N15" si="0">MIN(E10:M10)</f>
        <v>155</v>
      </c>
      <c r="O10" s="76" t="str" cm="1">
        <f t="array" ref="O10">_xlfn._xlws.FILTER($E$2:$M$2, E10:M10=MIN(E10:M10))</f>
        <v>Vendor 5</v>
      </c>
    </row>
    <row r="11" spans="1:24">
      <c r="A11" s="74" t="s">
        <v>84</v>
      </c>
      <c r="B11" s="79"/>
      <c r="C11" s="342"/>
      <c r="D11" s="92" t="s">
        <v>89</v>
      </c>
      <c r="E11" s="76">
        <v>155</v>
      </c>
      <c r="F11" s="76">
        <v>180</v>
      </c>
      <c r="G11" s="76">
        <v>155</v>
      </c>
      <c r="H11" s="76">
        <v>180</v>
      </c>
      <c r="I11" s="76">
        <v>150</v>
      </c>
      <c r="J11" s="76">
        <v>165</v>
      </c>
      <c r="K11" s="76">
        <v>170</v>
      </c>
      <c r="L11" s="76"/>
      <c r="M11" s="94">
        <v>140</v>
      </c>
      <c r="N11" s="88">
        <f t="shared" si="0"/>
        <v>140</v>
      </c>
      <c r="O11" s="76" t="str" cm="1">
        <f t="array" ref="O11">_xlfn._xlws.FILTER($E$2:$M$2, E11:M11=MIN(E11:M11))</f>
        <v>Vendor 9</v>
      </c>
    </row>
    <row r="12" spans="1:24">
      <c r="A12" s="74" t="s">
        <v>84</v>
      </c>
      <c r="B12" s="79"/>
      <c r="C12" s="342"/>
      <c r="D12" s="92" t="s">
        <v>91</v>
      </c>
      <c r="E12" s="76">
        <v>155</v>
      </c>
      <c r="F12" s="76">
        <v>170</v>
      </c>
      <c r="G12" s="76">
        <v>150</v>
      </c>
      <c r="H12" s="76">
        <v>175</v>
      </c>
      <c r="I12" s="76">
        <v>145</v>
      </c>
      <c r="J12" s="76">
        <v>155</v>
      </c>
      <c r="K12" s="76">
        <v>165</v>
      </c>
      <c r="L12" s="76"/>
      <c r="M12" s="94">
        <v>140</v>
      </c>
      <c r="N12" s="88">
        <f t="shared" si="0"/>
        <v>140</v>
      </c>
      <c r="O12" s="76" t="str" cm="1">
        <f t="array" ref="O12">_xlfn._xlws.FILTER($E$2:$M$2, E12:M12=MIN(E12:M12))</f>
        <v>Vendor 9</v>
      </c>
    </row>
    <row r="13" spans="1:24">
      <c r="A13" s="74" t="s">
        <v>84</v>
      </c>
      <c r="B13" s="79"/>
      <c r="C13" s="342"/>
      <c r="D13" s="92" t="s">
        <v>93</v>
      </c>
      <c r="E13" s="76">
        <v>150</v>
      </c>
      <c r="F13" s="76">
        <v>160</v>
      </c>
      <c r="G13" s="76">
        <v>150</v>
      </c>
      <c r="H13" s="76">
        <v>170</v>
      </c>
      <c r="I13" s="76">
        <v>140</v>
      </c>
      <c r="J13" s="76">
        <v>150</v>
      </c>
      <c r="K13" s="76">
        <v>163</v>
      </c>
      <c r="L13" s="76">
        <v>310</v>
      </c>
      <c r="M13" s="94">
        <v>130</v>
      </c>
      <c r="N13" s="88">
        <f t="shared" si="0"/>
        <v>130</v>
      </c>
      <c r="O13" s="76" t="str" cm="1">
        <f t="array" ref="O13">_xlfn._xlws.FILTER($E$2:$M$2, E13:M13=MIN(E13:M13))</f>
        <v>Vendor 9</v>
      </c>
    </row>
    <row r="14" spans="1:24">
      <c r="A14" s="74" t="s">
        <v>84</v>
      </c>
      <c r="B14" s="79"/>
      <c r="C14" s="342"/>
      <c r="D14" s="92" t="s">
        <v>95</v>
      </c>
      <c r="E14" s="76">
        <v>150</v>
      </c>
      <c r="F14" s="76">
        <v>150</v>
      </c>
      <c r="G14" s="76">
        <v>150</v>
      </c>
      <c r="H14" s="76">
        <v>165</v>
      </c>
      <c r="I14" s="76">
        <v>140</v>
      </c>
      <c r="J14" s="76">
        <v>150</v>
      </c>
      <c r="K14" s="76">
        <v>160</v>
      </c>
      <c r="L14" s="76"/>
      <c r="M14" s="94">
        <v>130</v>
      </c>
      <c r="N14" s="88">
        <f t="shared" si="0"/>
        <v>130</v>
      </c>
      <c r="O14" s="76" t="str" cm="1">
        <f t="array" ref="O14">_xlfn._xlws.FILTER($E$2:$M$2, E14:M14=MIN(E14:M14))</f>
        <v>Vendor 9</v>
      </c>
    </row>
    <row r="15" spans="1:24">
      <c r="A15" s="74" t="s">
        <v>84</v>
      </c>
      <c r="B15" s="79"/>
      <c r="C15" s="342"/>
      <c r="D15" s="92" t="s">
        <v>97</v>
      </c>
      <c r="E15" s="76">
        <v>145</v>
      </c>
      <c r="F15" s="76">
        <v>140</v>
      </c>
      <c r="G15" s="76">
        <v>145</v>
      </c>
      <c r="H15" s="76">
        <v>160</v>
      </c>
      <c r="I15" s="76">
        <v>135</v>
      </c>
      <c r="J15" s="76">
        <v>140</v>
      </c>
      <c r="K15" s="76">
        <v>157</v>
      </c>
      <c r="L15" s="76"/>
      <c r="M15" s="94">
        <v>130</v>
      </c>
      <c r="N15" s="88">
        <f t="shared" si="0"/>
        <v>130</v>
      </c>
      <c r="O15" s="76" t="str" cm="1">
        <f t="array" ref="O15">_xlfn._xlws.FILTER($E$2:$M$2, E15:M15=MIN(E15:M15))</f>
        <v>Vendor 9</v>
      </c>
    </row>
    <row r="16" spans="1:24">
      <c r="A16" s="74" t="s">
        <v>84</v>
      </c>
      <c r="B16" s="79"/>
      <c r="C16" s="231"/>
      <c r="D16" s="92" t="s">
        <v>99</v>
      </c>
      <c r="E16" s="76">
        <v>140</v>
      </c>
      <c r="F16" s="76">
        <v>130</v>
      </c>
      <c r="G16" s="76">
        <v>140</v>
      </c>
      <c r="H16" s="76">
        <v>155</v>
      </c>
      <c r="I16" s="94">
        <v>133</v>
      </c>
      <c r="J16" s="76">
        <v>135</v>
      </c>
      <c r="K16" s="76">
        <v>156</v>
      </c>
      <c r="L16" s="76"/>
      <c r="M16" s="76">
        <v>130</v>
      </c>
      <c r="N16" s="88">
        <v>133</v>
      </c>
      <c r="O16" s="76" t="s">
        <v>14</v>
      </c>
      <c r="P16" s="74" t="s">
        <v>103</v>
      </c>
    </row>
    <row r="17" spans="1:16">
      <c r="A17" s="74" t="s">
        <v>84</v>
      </c>
      <c r="B17" s="75">
        <v>3.1</v>
      </c>
      <c r="C17" s="343" t="s">
        <v>104</v>
      </c>
      <c r="D17" s="93">
        <v>100</v>
      </c>
      <c r="E17" s="76">
        <v>500</v>
      </c>
      <c r="F17" s="76"/>
      <c r="G17" s="76">
        <v>450</v>
      </c>
      <c r="H17" s="76">
        <v>350</v>
      </c>
      <c r="I17" s="76">
        <v>300</v>
      </c>
      <c r="J17" s="94">
        <v>350</v>
      </c>
      <c r="K17" s="76">
        <v>500</v>
      </c>
      <c r="L17" s="76"/>
      <c r="M17" s="76">
        <v>500</v>
      </c>
      <c r="N17" s="88">
        <v>350</v>
      </c>
      <c r="O17" s="76" t="str" cm="1">
        <f t="array" ref="O17">_xlfn._xlws.FILTER($E$2:$M$2, E17:M17=MIN(E17:M17))</f>
        <v>Vendor 5</v>
      </c>
    </row>
    <row r="18" spans="1:16">
      <c r="A18" s="74" t="s">
        <v>84</v>
      </c>
      <c r="B18" s="77"/>
      <c r="C18" s="342"/>
      <c r="D18" s="93">
        <v>200</v>
      </c>
      <c r="E18" s="76">
        <v>480</v>
      </c>
      <c r="F18" s="76"/>
      <c r="G18" s="76">
        <v>450</v>
      </c>
      <c r="H18" s="76">
        <v>345</v>
      </c>
      <c r="I18" s="76">
        <v>285</v>
      </c>
      <c r="J18" s="94">
        <v>330</v>
      </c>
      <c r="K18" s="76">
        <v>480</v>
      </c>
      <c r="L18" s="76"/>
      <c r="M18" s="76">
        <v>480</v>
      </c>
      <c r="N18" s="88">
        <v>330</v>
      </c>
      <c r="O18" s="76" t="str" cm="1">
        <f t="array" ref="O18">_xlfn._xlws.FILTER($E$2:$M$2, E18:M18=MIN(E18:M18))</f>
        <v>Vendor 5</v>
      </c>
    </row>
    <row r="19" spans="1:16">
      <c r="A19" s="74" t="s">
        <v>84</v>
      </c>
      <c r="B19" s="77"/>
      <c r="C19" s="342"/>
      <c r="D19" s="93">
        <v>300</v>
      </c>
      <c r="E19" s="76">
        <v>475</v>
      </c>
      <c r="F19" s="76"/>
      <c r="G19" s="76">
        <v>420</v>
      </c>
      <c r="H19" s="76">
        <v>335</v>
      </c>
      <c r="I19" s="76">
        <v>270</v>
      </c>
      <c r="J19" s="94">
        <v>280</v>
      </c>
      <c r="K19" s="76">
        <v>480</v>
      </c>
      <c r="L19" s="76"/>
      <c r="M19" s="76">
        <v>460</v>
      </c>
      <c r="N19" s="88">
        <v>280</v>
      </c>
      <c r="O19" s="76" t="str" cm="1">
        <f t="array" ref="O19">_xlfn._xlws.FILTER($E$2:$M$2, E19:M19=MIN(E19:M19))</f>
        <v>Vendor 5</v>
      </c>
    </row>
    <row r="20" spans="1:16">
      <c r="A20" s="74" t="s">
        <v>84</v>
      </c>
      <c r="B20" s="77"/>
      <c r="C20" s="347"/>
      <c r="D20" s="93" t="s">
        <v>105</v>
      </c>
      <c r="E20" s="76">
        <v>465</v>
      </c>
      <c r="F20" s="76"/>
      <c r="G20" s="76">
        <v>400</v>
      </c>
      <c r="H20" s="76">
        <v>310</v>
      </c>
      <c r="I20" s="76">
        <v>270</v>
      </c>
      <c r="J20" s="94">
        <v>280</v>
      </c>
      <c r="K20" s="76">
        <v>480</v>
      </c>
      <c r="L20" s="76">
        <v>230</v>
      </c>
      <c r="M20" s="76">
        <v>440</v>
      </c>
      <c r="N20" s="88">
        <v>280</v>
      </c>
      <c r="O20" s="76" t="str" cm="1">
        <f t="array" ref="O20">_xlfn._xlws.FILTER($E$2:$M$2, E20:M20=MIN(E20:M20))</f>
        <v>Vendor 8</v>
      </c>
      <c r="P20" s="74" t="s">
        <v>106</v>
      </c>
    </row>
    <row r="21" spans="1:16">
      <c r="A21" s="74" t="s">
        <v>84</v>
      </c>
      <c r="B21" s="81">
        <v>4</v>
      </c>
      <c r="C21" s="348" t="s">
        <v>107</v>
      </c>
      <c r="D21" s="92" t="s">
        <v>87</v>
      </c>
      <c r="E21" s="76">
        <v>100</v>
      </c>
      <c r="F21" s="76">
        <v>95</v>
      </c>
      <c r="G21" s="76">
        <v>150</v>
      </c>
      <c r="H21" s="76">
        <v>99</v>
      </c>
      <c r="I21" s="94">
        <v>120</v>
      </c>
      <c r="J21" s="76"/>
      <c r="K21" s="76">
        <v>125</v>
      </c>
      <c r="L21" s="76"/>
      <c r="M21" s="76" t="s">
        <v>108</v>
      </c>
      <c r="N21" s="88">
        <v>120</v>
      </c>
      <c r="O21" s="76" t="str" cm="1">
        <f t="array" ref="O21">_xlfn._xlws.FILTER($E$2:$M$2, E21:M21=MIN(E21:M21))</f>
        <v>Vendor 2</v>
      </c>
      <c r="P21" s="74" t="s">
        <v>106</v>
      </c>
    </row>
    <row r="22" spans="1:16">
      <c r="A22" s="74" t="s">
        <v>84</v>
      </c>
      <c r="B22" s="82"/>
      <c r="C22" s="349"/>
      <c r="D22" s="92" t="s">
        <v>89</v>
      </c>
      <c r="E22" s="76">
        <v>95</v>
      </c>
      <c r="F22" s="76">
        <v>90</v>
      </c>
      <c r="G22" s="76">
        <v>140</v>
      </c>
      <c r="H22" s="76">
        <v>95</v>
      </c>
      <c r="I22" s="94">
        <v>100</v>
      </c>
      <c r="J22" s="76"/>
      <c r="K22" s="76">
        <v>118.75</v>
      </c>
      <c r="L22" s="76"/>
      <c r="M22" s="76">
        <v>115</v>
      </c>
      <c r="N22" s="88">
        <v>100</v>
      </c>
      <c r="O22" s="76" t="str" cm="1">
        <f t="array" ref="O22">_xlfn._xlws.FILTER($E$2:$M$2, E22:M22=MIN(E22:M22))</f>
        <v>Vendor 2</v>
      </c>
      <c r="P22" s="74" t="s">
        <v>106</v>
      </c>
    </row>
    <row r="23" spans="1:16">
      <c r="A23" s="74" t="s">
        <v>84</v>
      </c>
      <c r="B23" s="82"/>
      <c r="C23" s="349"/>
      <c r="D23" s="92" t="s">
        <v>91</v>
      </c>
      <c r="E23" s="76">
        <v>90</v>
      </c>
      <c r="F23" s="76">
        <v>85</v>
      </c>
      <c r="G23" s="76">
        <v>130</v>
      </c>
      <c r="H23" s="76">
        <v>93</v>
      </c>
      <c r="I23" s="94">
        <v>96</v>
      </c>
      <c r="J23" s="76"/>
      <c r="K23" s="76">
        <v>117</v>
      </c>
      <c r="L23" s="76"/>
      <c r="M23" s="76">
        <v>110</v>
      </c>
      <c r="N23" s="88">
        <v>96</v>
      </c>
      <c r="O23" s="76" t="str" cm="1">
        <f t="array" ref="O23">_xlfn._xlws.FILTER($E$2:$M$2, E23:M23=MIN(E23:M23))</f>
        <v>Vendor 2</v>
      </c>
      <c r="P23" s="74" t="s">
        <v>106</v>
      </c>
    </row>
    <row r="24" spans="1:16">
      <c r="A24" s="74" t="s">
        <v>84</v>
      </c>
      <c r="B24" s="82"/>
      <c r="C24" s="349"/>
      <c r="D24" s="92" t="s">
        <v>93</v>
      </c>
      <c r="E24" s="76">
        <v>86</v>
      </c>
      <c r="F24" s="76">
        <v>80</v>
      </c>
      <c r="G24" s="76">
        <v>110</v>
      </c>
      <c r="H24" s="76">
        <v>90</v>
      </c>
      <c r="I24" s="94">
        <v>93</v>
      </c>
      <c r="J24" s="76"/>
      <c r="K24" s="76">
        <v>116</v>
      </c>
      <c r="L24" s="76"/>
      <c r="M24" s="76">
        <v>110</v>
      </c>
      <c r="N24" s="88">
        <v>93</v>
      </c>
      <c r="O24" s="76" t="str" cm="1">
        <f t="array" ref="O24">_xlfn._xlws.FILTER($E$2:$M$2, E24:M24=MIN(E24:M24))</f>
        <v>Vendor 2</v>
      </c>
      <c r="P24" s="74" t="s">
        <v>106</v>
      </c>
    </row>
    <row r="25" spans="1:16">
      <c r="A25" s="74" t="s">
        <v>84</v>
      </c>
      <c r="B25" s="82"/>
      <c r="C25" s="349"/>
      <c r="D25" s="92" t="s">
        <v>95</v>
      </c>
      <c r="E25" s="76">
        <v>84</v>
      </c>
      <c r="F25" s="76">
        <v>75</v>
      </c>
      <c r="G25" s="76">
        <v>100</v>
      </c>
      <c r="H25" s="76">
        <v>89</v>
      </c>
      <c r="I25" s="94">
        <v>93</v>
      </c>
      <c r="J25" s="76"/>
      <c r="K25" s="76">
        <v>116</v>
      </c>
      <c r="L25" s="76"/>
      <c r="M25" s="76">
        <v>100</v>
      </c>
      <c r="N25" s="88">
        <v>93</v>
      </c>
      <c r="O25" s="76" t="str" cm="1">
        <f t="array" ref="O25">_xlfn._xlws.FILTER($E$2:$M$2, E25:M25=MIN(E25:M25))</f>
        <v>Vendor 2</v>
      </c>
      <c r="P25" s="74" t="s">
        <v>106</v>
      </c>
    </row>
    <row r="26" spans="1:16">
      <c r="A26" s="74" t="s">
        <v>84</v>
      </c>
      <c r="B26" s="82"/>
      <c r="C26" s="349"/>
      <c r="D26" s="92" t="s">
        <v>97</v>
      </c>
      <c r="E26" s="76">
        <v>82</v>
      </c>
      <c r="F26" s="76">
        <v>70</v>
      </c>
      <c r="G26" s="76">
        <v>95</v>
      </c>
      <c r="H26" s="76">
        <v>88</v>
      </c>
      <c r="I26" s="94">
        <v>90</v>
      </c>
      <c r="J26" s="76"/>
      <c r="K26" s="76">
        <v>115</v>
      </c>
      <c r="L26" s="76"/>
      <c r="M26" s="76">
        <v>100</v>
      </c>
      <c r="N26" s="88">
        <v>90</v>
      </c>
      <c r="O26" s="76" t="str" cm="1">
        <f t="array" ref="O26">_xlfn._xlws.FILTER($E$2:$M$2, E26:M26=MIN(E26:M26))</f>
        <v>Vendor 2</v>
      </c>
      <c r="P26" s="74" t="s">
        <v>106</v>
      </c>
    </row>
    <row r="27" spans="1:16">
      <c r="A27" s="74" t="s">
        <v>84</v>
      </c>
      <c r="B27" s="84"/>
      <c r="C27" s="350"/>
      <c r="D27" s="92" t="s">
        <v>99</v>
      </c>
      <c r="E27" s="76">
        <v>75</v>
      </c>
      <c r="F27" s="76">
        <v>65</v>
      </c>
      <c r="G27" s="76">
        <v>90</v>
      </c>
      <c r="H27" s="76">
        <v>85</v>
      </c>
      <c r="I27" s="94">
        <v>90</v>
      </c>
      <c r="J27" s="76"/>
      <c r="K27" s="76">
        <v>115</v>
      </c>
      <c r="L27" s="76">
        <v>130</v>
      </c>
      <c r="M27" s="76">
        <v>100</v>
      </c>
      <c r="N27" s="88">
        <v>90</v>
      </c>
      <c r="O27" s="76" t="str" cm="1">
        <f t="array" ref="O27">_xlfn._xlws.FILTER($E$2:$M$2, E27:M27=MIN(E27:M27))</f>
        <v>Vendor 2</v>
      </c>
      <c r="P27" s="74" t="s">
        <v>106</v>
      </c>
    </row>
    <row r="28" spans="1:16">
      <c r="A28" s="74" t="s">
        <v>84</v>
      </c>
      <c r="B28" s="82">
        <v>5</v>
      </c>
      <c r="C28" s="83" t="s">
        <v>109</v>
      </c>
      <c r="D28" s="92" t="s">
        <v>87</v>
      </c>
      <c r="E28" s="76">
        <v>160</v>
      </c>
      <c r="F28" s="76">
        <v>130</v>
      </c>
      <c r="G28" s="76">
        <v>220</v>
      </c>
      <c r="H28" s="76">
        <v>165</v>
      </c>
      <c r="I28" s="94">
        <v>195</v>
      </c>
      <c r="J28" s="76"/>
      <c r="K28" s="76">
        <v>175</v>
      </c>
      <c r="L28" s="76"/>
      <c r="M28" s="76" t="s">
        <v>110</v>
      </c>
      <c r="N28" s="88">
        <v>195</v>
      </c>
      <c r="O28" s="76" t="str" cm="1">
        <f t="array" ref="O28">_xlfn._xlws.FILTER($E$2:$M$2, E28:M28=MIN(E28:M28))</f>
        <v>Vendor 2</v>
      </c>
      <c r="P28" s="74" t="s">
        <v>106</v>
      </c>
    </row>
    <row r="29" spans="1:16" ht="36.950000000000003" customHeight="1">
      <c r="A29" s="74" t="s">
        <v>84</v>
      </c>
      <c r="B29" s="82"/>
      <c r="C29" s="83" t="s">
        <v>111</v>
      </c>
      <c r="D29" s="92" t="s">
        <v>89</v>
      </c>
      <c r="E29" s="76">
        <v>155</v>
      </c>
      <c r="F29" s="76">
        <v>120</v>
      </c>
      <c r="G29" s="76">
        <v>200</v>
      </c>
      <c r="H29" s="76">
        <v>155</v>
      </c>
      <c r="I29" s="94">
        <v>185</v>
      </c>
      <c r="J29" s="76"/>
      <c r="K29" s="76">
        <v>156</v>
      </c>
      <c r="L29" s="76"/>
      <c r="M29" s="76">
        <v>125</v>
      </c>
      <c r="N29" s="88">
        <v>185</v>
      </c>
      <c r="O29" s="76" t="str" cm="1">
        <f t="array" ref="O29">_xlfn._xlws.FILTER($E$2:$M$2, E29:M29=MIN(E29:M29))</f>
        <v>Vendor 2</v>
      </c>
      <c r="P29" s="74" t="s">
        <v>106</v>
      </c>
    </row>
    <row r="30" spans="1:16">
      <c r="A30" s="74" t="s">
        <v>84</v>
      </c>
      <c r="B30" s="82"/>
      <c r="C30" s="83" t="s">
        <v>112</v>
      </c>
      <c r="D30" s="92" t="s">
        <v>91</v>
      </c>
      <c r="E30" s="76">
        <v>150</v>
      </c>
      <c r="F30" s="76">
        <v>110</v>
      </c>
      <c r="G30" s="76">
        <v>190</v>
      </c>
      <c r="H30" s="76">
        <v>150</v>
      </c>
      <c r="I30" s="94">
        <v>173</v>
      </c>
      <c r="J30" s="76"/>
      <c r="K30" s="76">
        <v>153</v>
      </c>
      <c r="L30" s="76"/>
      <c r="M30" s="76">
        <v>120</v>
      </c>
      <c r="N30" s="88">
        <v>173</v>
      </c>
      <c r="O30" s="76" t="str" cm="1">
        <f t="array" ref="O30">_xlfn._xlws.FILTER($E$2:$M$2, E30:M30=MIN(E30:M30))</f>
        <v>Vendor 2</v>
      </c>
      <c r="P30" s="74" t="s">
        <v>106</v>
      </c>
    </row>
    <row r="31" spans="1:16">
      <c r="A31" s="74" t="s">
        <v>84</v>
      </c>
      <c r="B31" s="82"/>
      <c r="C31" s="83" t="s">
        <v>113</v>
      </c>
      <c r="D31" s="92" t="s">
        <v>93</v>
      </c>
      <c r="E31" s="76">
        <v>145</v>
      </c>
      <c r="F31" s="76">
        <v>105</v>
      </c>
      <c r="G31" s="76">
        <v>180</v>
      </c>
      <c r="H31" s="76">
        <v>148</v>
      </c>
      <c r="I31" s="94">
        <v>167</v>
      </c>
      <c r="J31" s="76"/>
      <c r="K31" s="76">
        <v>153</v>
      </c>
      <c r="L31" s="76"/>
      <c r="M31" s="76">
        <v>120</v>
      </c>
      <c r="N31" s="88">
        <v>167</v>
      </c>
      <c r="O31" s="76" t="str" cm="1">
        <f t="array" ref="O31">_xlfn._xlws.FILTER($E$2:$M$2, E31:M31=MIN(E31:M31))</f>
        <v>Vendor 2</v>
      </c>
      <c r="P31" s="74" t="s">
        <v>106</v>
      </c>
    </row>
    <row r="32" spans="1:16">
      <c r="A32" s="74" t="s">
        <v>84</v>
      </c>
      <c r="B32" s="82"/>
      <c r="C32" s="83" t="s">
        <v>114</v>
      </c>
      <c r="D32" s="92" t="s">
        <v>95</v>
      </c>
      <c r="E32" s="76">
        <v>140</v>
      </c>
      <c r="F32" s="76">
        <v>100</v>
      </c>
      <c r="G32" s="76">
        <v>170</v>
      </c>
      <c r="H32" s="76">
        <v>146</v>
      </c>
      <c r="I32" s="94">
        <v>160</v>
      </c>
      <c r="J32" s="76"/>
      <c r="K32" s="76">
        <v>150</v>
      </c>
      <c r="L32" s="76">
        <v>260</v>
      </c>
      <c r="M32" s="76">
        <v>115</v>
      </c>
      <c r="N32" s="88">
        <v>160</v>
      </c>
      <c r="O32" s="76" t="str" cm="1">
        <f t="array" ref="O32">_xlfn._xlws.FILTER($E$2:$M$2, E32:M32=MIN(E32:M32))</f>
        <v>Vendor 2</v>
      </c>
      <c r="P32" s="74" t="s">
        <v>106</v>
      </c>
    </row>
    <row r="33" spans="1:16">
      <c r="A33" s="74" t="s">
        <v>84</v>
      </c>
      <c r="B33" s="82"/>
      <c r="C33" s="83" t="s">
        <v>115</v>
      </c>
      <c r="D33" s="92" t="s">
        <v>97</v>
      </c>
      <c r="E33" s="76">
        <v>130</v>
      </c>
      <c r="F33" s="76">
        <v>95</v>
      </c>
      <c r="G33" s="76">
        <v>160</v>
      </c>
      <c r="H33" s="76">
        <v>144</v>
      </c>
      <c r="I33" s="94">
        <v>157</v>
      </c>
      <c r="J33" s="76"/>
      <c r="K33" s="76">
        <v>150</v>
      </c>
      <c r="L33" s="76"/>
      <c r="M33" s="76">
        <v>115</v>
      </c>
      <c r="N33" s="88">
        <v>157</v>
      </c>
      <c r="O33" s="76" t="str" cm="1">
        <f t="array" ref="O33">_xlfn._xlws.FILTER($E$2:$M$2, E33:M33=MIN(E33:M33))</f>
        <v>Vendor 2</v>
      </c>
      <c r="P33" s="74" t="s">
        <v>106</v>
      </c>
    </row>
    <row r="34" spans="1:16">
      <c r="A34" s="74" t="s">
        <v>84</v>
      </c>
      <c r="B34" s="82"/>
      <c r="C34" s="85" t="s">
        <v>116</v>
      </c>
      <c r="D34" s="92" t="s">
        <v>99</v>
      </c>
      <c r="E34" s="76">
        <v>130</v>
      </c>
      <c r="F34" s="76">
        <v>90</v>
      </c>
      <c r="G34" s="76">
        <v>150</v>
      </c>
      <c r="H34" s="76">
        <v>142</v>
      </c>
      <c r="I34" s="94">
        <v>157</v>
      </c>
      <c r="J34" s="76"/>
      <c r="K34" s="76">
        <v>150</v>
      </c>
      <c r="L34" s="76"/>
      <c r="M34" s="76">
        <v>115</v>
      </c>
      <c r="N34" s="88">
        <v>157</v>
      </c>
      <c r="O34" s="76" t="str" cm="1">
        <f t="array" ref="O34">_xlfn._xlws.FILTER($E$2:$M$2, E34:M34=MIN(E34:M34))</f>
        <v>Vendor 2</v>
      </c>
      <c r="P34" s="74" t="s">
        <v>106</v>
      </c>
    </row>
    <row r="35" spans="1:16">
      <c r="A35" s="74" t="s">
        <v>84</v>
      </c>
      <c r="B35" s="75">
        <v>6</v>
      </c>
      <c r="C35" s="344" t="s">
        <v>117</v>
      </c>
      <c r="D35" s="92" t="s">
        <v>87</v>
      </c>
      <c r="E35" s="76">
        <v>160</v>
      </c>
      <c r="F35" s="94">
        <v>130</v>
      </c>
      <c r="G35" s="76">
        <v>220</v>
      </c>
      <c r="H35" s="76"/>
      <c r="I35" s="76">
        <v>195</v>
      </c>
      <c r="J35" s="76"/>
      <c r="K35" s="76">
        <v>175</v>
      </c>
      <c r="L35" s="76"/>
      <c r="M35" s="76" t="s">
        <v>118</v>
      </c>
      <c r="N35" s="88">
        <f t="shared" ref="N35:N38" si="1">MIN(E35:M35)</f>
        <v>130</v>
      </c>
      <c r="O35" s="76" t="str" cm="1">
        <f t="array" ref="O35">_xlfn._xlws.FILTER($E$2:$M$2, E35:M35=MIN(E35:M35))</f>
        <v>Vendor 2</v>
      </c>
    </row>
    <row r="36" spans="1:16">
      <c r="A36" s="74" t="s">
        <v>84</v>
      </c>
      <c r="B36" s="77"/>
      <c r="C36" s="345"/>
      <c r="D36" s="92" t="s">
        <v>89</v>
      </c>
      <c r="E36" s="76">
        <v>155</v>
      </c>
      <c r="F36" s="94">
        <v>120</v>
      </c>
      <c r="G36" s="76">
        <v>200</v>
      </c>
      <c r="H36" s="76">
        <v>198</v>
      </c>
      <c r="I36" s="76">
        <v>185</v>
      </c>
      <c r="J36" s="76"/>
      <c r="K36" s="76">
        <v>170</v>
      </c>
      <c r="L36" s="76"/>
      <c r="M36" s="76">
        <v>125</v>
      </c>
      <c r="N36" s="88">
        <f t="shared" si="1"/>
        <v>120</v>
      </c>
      <c r="O36" s="76" t="str" cm="1">
        <f t="array" ref="O36">_xlfn._xlws.FILTER($E$2:$M$2, E36:M36=MIN(E36:M36))</f>
        <v>Vendor 2</v>
      </c>
    </row>
    <row r="37" spans="1:16">
      <c r="A37" s="74" t="s">
        <v>84</v>
      </c>
      <c r="B37" s="77"/>
      <c r="C37" s="345"/>
      <c r="D37" s="92" t="s">
        <v>91</v>
      </c>
      <c r="E37" s="76">
        <v>155</v>
      </c>
      <c r="F37" s="94">
        <v>110</v>
      </c>
      <c r="G37" s="76">
        <v>190</v>
      </c>
      <c r="H37" s="76">
        <v>195</v>
      </c>
      <c r="I37" s="76">
        <v>173</v>
      </c>
      <c r="J37" s="76"/>
      <c r="K37" s="76">
        <v>170</v>
      </c>
      <c r="L37" s="76"/>
      <c r="M37" s="76">
        <v>120</v>
      </c>
      <c r="N37" s="88">
        <f t="shared" si="1"/>
        <v>110</v>
      </c>
      <c r="O37" s="76" t="str" cm="1">
        <f t="array" ref="O37">_xlfn._xlws.FILTER($E$2:$M$2, E37:M37=MIN(E37:M37))</f>
        <v>Vendor 2</v>
      </c>
    </row>
    <row r="38" spans="1:16">
      <c r="A38" s="74" t="s">
        <v>84</v>
      </c>
      <c r="B38" s="77"/>
      <c r="C38" s="345"/>
      <c r="D38" s="92" t="s">
        <v>93</v>
      </c>
      <c r="E38" s="76">
        <v>150</v>
      </c>
      <c r="F38" s="94">
        <v>105</v>
      </c>
      <c r="G38" s="76">
        <v>180</v>
      </c>
      <c r="H38" s="76">
        <v>189</v>
      </c>
      <c r="I38" s="76">
        <v>167</v>
      </c>
      <c r="J38" s="76"/>
      <c r="K38" s="76">
        <v>168</v>
      </c>
      <c r="L38" s="76"/>
      <c r="M38" s="76">
        <v>120</v>
      </c>
      <c r="N38" s="88">
        <f t="shared" si="1"/>
        <v>105</v>
      </c>
      <c r="O38" s="76" t="str" cm="1">
        <f t="array" ref="O38">_xlfn._xlws.FILTER($E$2:$M$2, E38:M38=MIN(E38:M38))</f>
        <v>Vendor 2</v>
      </c>
    </row>
    <row r="39" spans="1:16">
      <c r="A39" s="74" t="s">
        <v>84</v>
      </c>
      <c r="B39" s="77"/>
      <c r="C39" s="241"/>
      <c r="D39" s="92" t="s">
        <v>95</v>
      </c>
      <c r="E39" s="76">
        <v>145</v>
      </c>
      <c r="F39" s="94">
        <v>100</v>
      </c>
      <c r="G39" s="76">
        <v>170</v>
      </c>
      <c r="H39" s="76">
        <v>187</v>
      </c>
      <c r="I39" s="76">
        <v>160</v>
      </c>
      <c r="J39" s="76"/>
      <c r="K39" s="76">
        <v>168</v>
      </c>
      <c r="L39" s="76"/>
      <c r="M39" s="76">
        <v>115</v>
      </c>
      <c r="N39" s="88">
        <f>MIN(E39:M39)</f>
        <v>100</v>
      </c>
      <c r="O39" s="76" t="str" cm="1">
        <f t="array" ref="O39">_xlfn._xlws.FILTER($E$2:$M$2, E39:M39=MIN(E39:M39))</f>
        <v>Vendor 2</v>
      </c>
    </row>
    <row r="40" spans="1:16">
      <c r="A40" s="74" t="s">
        <v>84</v>
      </c>
      <c r="B40" s="77"/>
      <c r="C40" s="241"/>
      <c r="D40" s="92" t="s">
        <v>97</v>
      </c>
      <c r="E40" s="76">
        <v>140</v>
      </c>
      <c r="F40" s="94">
        <v>95</v>
      </c>
      <c r="G40" s="76">
        <v>160</v>
      </c>
      <c r="H40" s="76">
        <v>185</v>
      </c>
      <c r="I40" s="76">
        <v>157</v>
      </c>
      <c r="J40" s="76"/>
      <c r="K40" s="76">
        <v>165</v>
      </c>
      <c r="L40" s="76"/>
      <c r="M40" s="76">
        <v>115</v>
      </c>
      <c r="N40" s="88">
        <f>MIN(E40:M40)</f>
        <v>95</v>
      </c>
      <c r="O40" s="76" t="str" cm="1">
        <f t="array" ref="O40">_xlfn._xlws.FILTER($E$2:$M$2, E40:M40=MIN(E40:M40))</f>
        <v>Vendor 2</v>
      </c>
    </row>
    <row r="41" spans="1:16">
      <c r="A41" s="74" t="s">
        <v>84</v>
      </c>
      <c r="B41" s="77"/>
      <c r="C41" s="241"/>
      <c r="D41" s="92" t="s">
        <v>99</v>
      </c>
      <c r="E41" s="76">
        <v>135</v>
      </c>
      <c r="F41" s="94">
        <v>90</v>
      </c>
      <c r="G41" s="76">
        <v>150</v>
      </c>
      <c r="H41" s="76">
        <v>182</v>
      </c>
      <c r="I41" s="76">
        <v>157</v>
      </c>
      <c r="J41" s="76"/>
      <c r="K41" s="76">
        <v>165</v>
      </c>
      <c r="L41" s="76">
        <v>260</v>
      </c>
      <c r="M41" s="76">
        <v>115</v>
      </c>
      <c r="N41" s="88">
        <f>MIN(E41:M41)</f>
        <v>90</v>
      </c>
      <c r="O41" s="76" t="str" cm="1">
        <f t="array" ref="O41">_xlfn._xlws.FILTER($E$2:$M$2, E41:M41=MIN(E41:M41))</f>
        <v>Vendor 2</v>
      </c>
    </row>
    <row r="42" spans="1:16">
      <c r="A42" s="74" t="s">
        <v>84</v>
      </c>
      <c r="B42" s="78">
        <v>7</v>
      </c>
      <c r="C42" s="343" t="s">
        <v>119</v>
      </c>
      <c r="D42" s="92" t="s">
        <v>87</v>
      </c>
      <c r="E42" s="76">
        <v>170</v>
      </c>
      <c r="F42" s="76">
        <v>220</v>
      </c>
      <c r="G42" s="76">
        <v>230</v>
      </c>
      <c r="H42" s="76">
        <v>275</v>
      </c>
      <c r="I42" s="94">
        <v>225</v>
      </c>
      <c r="J42" s="76"/>
      <c r="K42" s="76">
        <v>275</v>
      </c>
      <c r="L42" s="76"/>
      <c r="M42" s="76"/>
      <c r="N42" s="88">
        <v>225</v>
      </c>
      <c r="O42" s="76" t="str" cm="1">
        <f t="array" ref="O42">_xlfn._xlws.FILTER($E$2:$M$2, E42:M42=MIN(E42:M42))</f>
        <v>Vendor 1</v>
      </c>
      <c r="P42" s="74" t="s">
        <v>120</v>
      </c>
    </row>
    <row r="43" spans="1:16">
      <c r="A43" s="74" t="s">
        <v>84</v>
      </c>
      <c r="B43" s="79"/>
      <c r="C43" s="342"/>
      <c r="D43" s="92" t="s">
        <v>89</v>
      </c>
      <c r="E43" s="76">
        <v>165</v>
      </c>
      <c r="F43" s="76">
        <v>200</v>
      </c>
      <c r="G43" s="76">
        <v>220</v>
      </c>
      <c r="H43" s="76">
        <v>235</v>
      </c>
      <c r="I43" s="94">
        <v>210</v>
      </c>
      <c r="J43" s="76">
        <v>190</v>
      </c>
      <c r="K43" s="76">
        <v>270</v>
      </c>
      <c r="L43" s="76"/>
      <c r="M43" s="76"/>
      <c r="N43" s="88">
        <v>210</v>
      </c>
      <c r="O43" s="76" t="str" cm="1">
        <f t="array" ref="O43">_xlfn._xlws.FILTER($E$2:$M$2, E43:M43=MIN(E43:M43))</f>
        <v>Vendor 1</v>
      </c>
      <c r="P43" s="74" t="s">
        <v>120</v>
      </c>
    </row>
    <row r="44" spans="1:16">
      <c r="A44" s="74" t="s">
        <v>84</v>
      </c>
      <c r="B44" s="79"/>
      <c r="C44" s="342"/>
      <c r="D44" s="92" t="s">
        <v>91</v>
      </c>
      <c r="E44" s="76">
        <v>160</v>
      </c>
      <c r="F44" s="76">
        <v>190</v>
      </c>
      <c r="G44" s="76">
        <v>210</v>
      </c>
      <c r="H44" s="76">
        <v>225</v>
      </c>
      <c r="I44" s="94">
        <v>200</v>
      </c>
      <c r="J44" s="76">
        <v>190</v>
      </c>
      <c r="K44" s="76">
        <v>270</v>
      </c>
      <c r="L44" s="76"/>
      <c r="M44" s="76"/>
      <c r="N44" s="88">
        <v>200</v>
      </c>
      <c r="O44" s="76" t="str" cm="1">
        <f t="array" ref="O44">_xlfn._xlws.FILTER($E$2:$M$2, E44:M44=MIN(E44:M44))</f>
        <v>Vendor 1</v>
      </c>
      <c r="P44" s="74" t="s">
        <v>120</v>
      </c>
    </row>
    <row r="45" spans="1:16">
      <c r="A45" s="74" t="s">
        <v>84</v>
      </c>
      <c r="B45" s="79"/>
      <c r="C45" s="342"/>
      <c r="D45" s="92" t="s">
        <v>93</v>
      </c>
      <c r="E45" s="76">
        <v>155</v>
      </c>
      <c r="F45" s="76">
        <v>180</v>
      </c>
      <c r="G45" s="76">
        <v>200</v>
      </c>
      <c r="H45" s="76">
        <v>218</v>
      </c>
      <c r="I45" s="94">
        <v>200</v>
      </c>
      <c r="J45" s="76">
        <v>180</v>
      </c>
      <c r="K45" s="76">
        <v>265</v>
      </c>
      <c r="L45" s="76"/>
      <c r="M45" s="76"/>
      <c r="N45" s="88">
        <v>200</v>
      </c>
      <c r="O45" s="76" t="str" cm="1">
        <f t="array" ref="O45">_xlfn._xlws.FILTER($E$2:$M$2, E45:M45=MIN(E45:M45))</f>
        <v>Vendor 1</v>
      </c>
      <c r="P45" s="74" t="s">
        <v>120</v>
      </c>
    </row>
    <row r="46" spans="1:16">
      <c r="A46" s="74" t="s">
        <v>84</v>
      </c>
      <c r="B46" s="79"/>
      <c r="C46" s="342"/>
      <c r="D46" s="92" t="s">
        <v>95</v>
      </c>
      <c r="E46" s="76">
        <v>150</v>
      </c>
      <c r="F46" s="76">
        <v>170</v>
      </c>
      <c r="G46" s="76">
        <v>200</v>
      </c>
      <c r="H46" s="76">
        <v>213</v>
      </c>
      <c r="I46" s="94">
        <v>195</v>
      </c>
      <c r="J46" s="76">
        <v>180</v>
      </c>
      <c r="K46" s="76">
        <v>265</v>
      </c>
      <c r="L46" s="76"/>
      <c r="M46" s="76"/>
      <c r="N46" s="88">
        <v>195</v>
      </c>
      <c r="O46" s="76" t="str" cm="1">
        <f t="array" ref="O46">_xlfn._xlws.FILTER($E$2:$M$2, E46:M46=MIN(E46:M46))</f>
        <v>Vendor 1</v>
      </c>
      <c r="P46" s="74" t="s">
        <v>120</v>
      </c>
    </row>
    <row r="47" spans="1:16">
      <c r="A47" s="74" t="s">
        <v>84</v>
      </c>
      <c r="B47" s="79"/>
      <c r="C47" s="342"/>
      <c r="D47" s="92" t="s">
        <v>97</v>
      </c>
      <c r="E47" s="76">
        <v>145</v>
      </c>
      <c r="F47" s="76">
        <v>160</v>
      </c>
      <c r="G47" s="76">
        <v>190</v>
      </c>
      <c r="H47" s="76">
        <v>204</v>
      </c>
      <c r="I47" s="94">
        <v>195</v>
      </c>
      <c r="J47" s="76">
        <v>180</v>
      </c>
      <c r="K47" s="76">
        <v>262.5</v>
      </c>
      <c r="L47" s="76"/>
      <c r="M47" s="76"/>
      <c r="N47" s="88">
        <v>195</v>
      </c>
      <c r="O47" s="76" t="str" cm="1">
        <f t="array" ref="O47">_xlfn._xlws.FILTER($E$2:$M$2, E47:M47=MIN(E47:M47))</f>
        <v>Vendor 1</v>
      </c>
      <c r="P47" s="74" t="s">
        <v>120</v>
      </c>
    </row>
    <row r="48" spans="1:16">
      <c r="A48" s="74" t="s">
        <v>84</v>
      </c>
      <c r="B48" s="79"/>
      <c r="C48" s="231"/>
      <c r="D48" s="227" t="s">
        <v>99</v>
      </c>
      <c r="E48" s="234">
        <v>140</v>
      </c>
      <c r="F48" s="228">
        <v>150</v>
      </c>
      <c r="G48" s="234">
        <v>190</v>
      </c>
      <c r="H48" s="228">
        <v>199</v>
      </c>
      <c r="I48" s="272">
        <v>195</v>
      </c>
      <c r="J48" s="228">
        <v>170</v>
      </c>
      <c r="K48" s="234">
        <v>262.5</v>
      </c>
      <c r="L48" s="228">
        <v>260</v>
      </c>
      <c r="M48" s="234"/>
      <c r="N48" s="239">
        <v>195</v>
      </c>
      <c r="O48" s="76" t="str" cm="1">
        <f t="array" ref="O48">_xlfn._xlws.FILTER($E$2:$M$2, E48:M48=MIN(E48:M48))</f>
        <v>Vendor 1</v>
      </c>
      <c r="P48" s="74" t="s">
        <v>120</v>
      </c>
    </row>
    <row r="49" spans="1:23">
      <c r="B49" s="232"/>
      <c r="C49" s="80"/>
      <c r="D49" s="229"/>
      <c r="E49" s="233"/>
      <c r="F49" s="230"/>
      <c r="G49" s="233"/>
      <c r="H49" s="230"/>
      <c r="I49" s="233"/>
      <c r="J49" s="230"/>
      <c r="K49" s="233"/>
      <c r="L49" s="230"/>
      <c r="M49" s="233"/>
      <c r="N49" s="240"/>
      <c r="O49" s="76" t="str" cm="1">
        <f t="array" ref="O49:W49">_xlfn._xlws.FILTER($E$2:$M$2, E49:M49=MIN(E49:M49))</f>
        <v>Vendor 1</v>
      </c>
      <c r="P49" s="74" t="str">
        <v>Vendor 2</v>
      </c>
      <c r="Q49" s="74" t="str">
        <v>Vendor 3</v>
      </c>
      <c r="R49" s="74" t="str">
        <v>Vendor 4</v>
      </c>
      <c r="S49" s="74" t="str">
        <v>Vendor 5</v>
      </c>
      <c r="T49" s="74" t="str">
        <v>Vendor 6</v>
      </c>
      <c r="U49" s="74" t="str">
        <v>Vendor 7</v>
      </c>
      <c r="V49" s="74" t="str">
        <v>Vendor 8</v>
      </c>
      <c r="W49" s="74" t="str">
        <v>Vendor 9</v>
      </c>
    </row>
    <row r="50" spans="1:23">
      <c r="A50" s="74" t="s">
        <v>84</v>
      </c>
      <c r="B50" s="79">
        <v>8</v>
      </c>
      <c r="C50" s="342" t="s">
        <v>121</v>
      </c>
      <c r="D50" s="229" t="s">
        <v>87</v>
      </c>
      <c r="E50" s="230"/>
      <c r="F50" s="230"/>
      <c r="G50" s="230"/>
      <c r="H50" s="230"/>
      <c r="I50" s="230"/>
      <c r="J50" s="230"/>
      <c r="K50" s="230"/>
      <c r="L50" s="230"/>
      <c r="M50" s="273">
        <v>155</v>
      </c>
      <c r="N50" s="240">
        <v>155</v>
      </c>
      <c r="O50" s="76" t="str" cm="1">
        <f t="array" ref="O50">_xlfn._xlws.FILTER($E$2:$M$2, E50:M50=MIN(E50:M50))</f>
        <v>Vendor 9</v>
      </c>
    </row>
    <row r="51" spans="1:23">
      <c r="A51" s="74" t="s">
        <v>84</v>
      </c>
      <c r="B51" s="79"/>
      <c r="C51" s="342"/>
      <c r="D51" s="92" t="s">
        <v>89</v>
      </c>
      <c r="E51" s="76"/>
      <c r="F51" s="76"/>
      <c r="G51" s="76"/>
      <c r="H51" s="76"/>
      <c r="I51" s="76"/>
      <c r="J51" s="76"/>
      <c r="K51" s="76"/>
      <c r="L51" s="76"/>
      <c r="M51" s="94">
        <v>145</v>
      </c>
      <c r="N51" s="88">
        <v>145</v>
      </c>
      <c r="O51" s="76" t="str" cm="1">
        <f t="array" ref="O51">_xlfn._xlws.FILTER($E$2:$M$2, E51:M51=MIN(E51:M51))</f>
        <v>Vendor 9</v>
      </c>
    </row>
    <row r="52" spans="1:23">
      <c r="A52" s="74" t="s">
        <v>84</v>
      </c>
      <c r="B52" s="79"/>
      <c r="C52" s="342"/>
      <c r="D52" s="92" t="s">
        <v>91</v>
      </c>
      <c r="E52" s="76"/>
      <c r="F52" s="76"/>
      <c r="G52" s="76"/>
      <c r="H52" s="76"/>
      <c r="I52" s="76"/>
      <c r="J52" s="76"/>
      <c r="K52" s="76"/>
      <c r="L52" s="76"/>
      <c r="M52" s="94">
        <v>135</v>
      </c>
      <c r="N52" s="88">
        <v>135</v>
      </c>
      <c r="O52" s="76" t="str" cm="1">
        <f t="array" ref="O52">_xlfn._xlws.FILTER($E$2:$M$2, E52:M52=MIN(E52:M52))</f>
        <v>Vendor 9</v>
      </c>
    </row>
    <row r="53" spans="1:23">
      <c r="A53" s="74" t="s">
        <v>84</v>
      </c>
      <c r="B53" s="79"/>
      <c r="C53" s="342"/>
      <c r="D53" s="92" t="s">
        <v>93</v>
      </c>
      <c r="E53" s="76"/>
      <c r="F53" s="76"/>
      <c r="G53" s="76"/>
      <c r="H53" s="76"/>
      <c r="I53" s="76"/>
      <c r="J53" s="76"/>
      <c r="K53" s="76"/>
      <c r="L53" s="76"/>
      <c r="M53" s="94">
        <v>135</v>
      </c>
      <c r="N53" s="88">
        <v>135</v>
      </c>
      <c r="O53" s="76" t="str" cm="1">
        <f t="array" ref="O53">_xlfn._xlws.FILTER($E$2:$M$2, E53:M53=MIN(E53:M53))</f>
        <v>Vendor 9</v>
      </c>
    </row>
    <row r="54" spans="1:23" ht="162" customHeight="1">
      <c r="A54" s="74" t="s">
        <v>84</v>
      </c>
      <c r="B54" s="79"/>
      <c r="C54" s="342"/>
      <c r="D54" s="92" t="s">
        <v>95</v>
      </c>
      <c r="E54" s="76"/>
      <c r="F54" s="76"/>
      <c r="G54" s="76"/>
      <c r="H54" s="76"/>
      <c r="I54" s="76"/>
      <c r="J54" s="76"/>
      <c r="K54" s="76"/>
      <c r="L54" s="76"/>
      <c r="M54" s="94">
        <v>130</v>
      </c>
      <c r="N54" s="88">
        <v>130</v>
      </c>
      <c r="O54" s="76" t="str" cm="1">
        <f t="array" ref="O54">_xlfn._xlws.FILTER($E$2:$M$2, E54:M54=MIN(E54:M54))</f>
        <v>Vendor 9</v>
      </c>
    </row>
    <row r="55" spans="1:23">
      <c r="A55" s="74" t="s">
        <v>84</v>
      </c>
      <c r="B55" s="79"/>
      <c r="C55" s="342"/>
      <c r="D55" s="92" t="s">
        <v>97</v>
      </c>
      <c r="E55" s="76"/>
      <c r="F55" s="76"/>
      <c r="G55" s="76"/>
      <c r="H55" s="76"/>
      <c r="I55" s="76"/>
      <c r="J55" s="76"/>
      <c r="K55" s="76"/>
      <c r="L55" s="76"/>
      <c r="M55" s="94">
        <v>130</v>
      </c>
      <c r="N55" s="88">
        <v>130</v>
      </c>
      <c r="O55" s="76" t="str" cm="1">
        <f t="array" ref="O55">_xlfn._xlws.FILTER($E$2:$M$2, E55:M55=MIN(E55:M55))</f>
        <v>Vendor 9</v>
      </c>
    </row>
    <row r="56" spans="1:23">
      <c r="A56" s="74" t="s">
        <v>84</v>
      </c>
      <c r="B56" s="79"/>
      <c r="C56" s="231"/>
      <c r="D56" s="92" t="s">
        <v>99</v>
      </c>
      <c r="E56" s="76"/>
      <c r="F56" s="76"/>
      <c r="G56" s="76"/>
      <c r="H56" s="76"/>
      <c r="I56" s="76"/>
      <c r="J56" s="76"/>
      <c r="K56" s="76"/>
      <c r="L56" s="76"/>
      <c r="M56" s="94">
        <v>130</v>
      </c>
      <c r="N56" s="88">
        <v>130</v>
      </c>
      <c r="O56" s="76" t="str" cm="1">
        <f t="array" ref="O56">_xlfn._xlws.FILTER($E$2:$M$2, E56:M56=MIN(E56:M56))</f>
        <v>Vendor 9</v>
      </c>
    </row>
    <row r="57" spans="1:23" ht="35.450000000000003" customHeight="1">
      <c r="A57" s="74" t="s">
        <v>84</v>
      </c>
      <c r="B57" s="86">
        <v>9</v>
      </c>
      <c r="C57" s="87" t="s">
        <v>122</v>
      </c>
      <c r="D57" s="76"/>
      <c r="E57" s="76">
        <v>8</v>
      </c>
      <c r="F57" s="76">
        <v>5</v>
      </c>
      <c r="G57" s="76">
        <v>8</v>
      </c>
      <c r="H57" s="76">
        <v>10</v>
      </c>
      <c r="I57" s="76">
        <v>20</v>
      </c>
      <c r="J57" s="76">
        <v>20</v>
      </c>
      <c r="K57" s="76">
        <v>12.5</v>
      </c>
      <c r="L57" s="76"/>
      <c r="M57" s="76">
        <v>15</v>
      </c>
      <c r="N57" s="336" t="s">
        <v>123</v>
      </c>
      <c r="O57" s="337"/>
    </row>
    <row r="58" spans="1:23">
      <c r="A58" s="74" t="s">
        <v>84</v>
      </c>
      <c r="B58" s="86">
        <v>10</v>
      </c>
      <c r="C58" s="87" t="s">
        <v>124</v>
      </c>
      <c r="D58" s="76"/>
      <c r="E58" s="76">
        <v>10</v>
      </c>
      <c r="F58" s="76">
        <v>10</v>
      </c>
      <c r="G58" s="76">
        <v>15</v>
      </c>
      <c r="H58" s="76">
        <v>18</v>
      </c>
      <c r="I58" s="76">
        <v>30</v>
      </c>
      <c r="J58" s="76">
        <v>30</v>
      </c>
      <c r="K58" s="76">
        <v>16.5</v>
      </c>
      <c r="L58" s="76">
        <v>270</v>
      </c>
      <c r="M58" s="76">
        <v>20</v>
      </c>
      <c r="N58" s="338"/>
      <c r="O58" s="339"/>
    </row>
    <row r="59" spans="1:23">
      <c r="A59" s="74" t="s">
        <v>84</v>
      </c>
      <c r="B59" s="86">
        <v>11</v>
      </c>
      <c r="C59" s="87" t="s">
        <v>125</v>
      </c>
      <c r="D59" s="76"/>
      <c r="E59" s="76">
        <v>12</v>
      </c>
      <c r="F59" s="76">
        <v>15</v>
      </c>
      <c r="G59" s="76">
        <v>20</v>
      </c>
      <c r="H59" s="76">
        <v>25</v>
      </c>
      <c r="I59" s="76">
        <v>40</v>
      </c>
      <c r="J59" s="76">
        <v>40</v>
      </c>
      <c r="K59" s="76">
        <v>18.75</v>
      </c>
      <c r="L59" s="76"/>
      <c r="M59" s="76">
        <v>25</v>
      </c>
      <c r="N59" s="338"/>
      <c r="O59" s="339"/>
    </row>
    <row r="60" spans="1:23">
      <c r="A60" s="74" t="s">
        <v>84</v>
      </c>
      <c r="B60" s="86">
        <v>12</v>
      </c>
      <c r="C60" s="87" t="s">
        <v>126</v>
      </c>
      <c r="D60" s="76"/>
      <c r="E60" s="76">
        <v>15</v>
      </c>
      <c r="F60" s="76">
        <v>20</v>
      </c>
      <c r="G60" s="76">
        <v>25</v>
      </c>
      <c r="H60" s="76">
        <v>34</v>
      </c>
      <c r="I60" s="76">
        <v>45</v>
      </c>
      <c r="J60" s="76">
        <v>50</v>
      </c>
      <c r="K60" s="76">
        <v>22.5</v>
      </c>
      <c r="L60" s="76"/>
      <c r="M60" s="76">
        <v>30</v>
      </c>
      <c r="N60" s="338"/>
      <c r="O60" s="339"/>
    </row>
    <row r="61" spans="1:23">
      <c r="A61" s="74" t="s">
        <v>84</v>
      </c>
      <c r="B61" s="86">
        <v>13</v>
      </c>
      <c r="C61" s="89" t="s">
        <v>127</v>
      </c>
      <c r="D61" s="76"/>
      <c r="E61" s="76">
        <v>10</v>
      </c>
      <c r="F61" s="76"/>
      <c r="G61" s="76">
        <v>25</v>
      </c>
      <c r="H61" s="76">
        <v>10</v>
      </c>
      <c r="I61" s="76">
        <v>10</v>
      </c>
      <c r="J61" s="76">
        <v>20</v>
      </c>
      <c r="K61" s="76">
        <v>30</v>
      </c>
      <c r="L61" s="76"/>
      <c r="M61" s="76">
        <v>15</v>
      </c>
      <c r="N61" s="338"/>
      <c r="O61" s="339"/>
    </row>
    <row r="62" spans="1:23">
      <c r="A62" s="74" t="s">
        <v>84</v>
      </c>
      <c r="B62" s="86">
        <v>14</v>
      </c>
      <c r="C62" s="89" t="s">
        <v>128</v>
      </c>
      <c r="D62" s="76"/>
      <c r="E62" s="76">
        <v>11</v>
      </c>
      <c r="F62" s="76"/>
      <c r="G62" s="76">
        <v>25</v>
      </c>
      <c r="H62" s="76">
        <v>15</v>
      </c>
      <c r="I62" s="76">
        <v>20</v>
      </c>
      <c r="J62" s="76">
        <v>30</v>
      </c>
      <c r="K62" s="76">
        <v>32</v>
      </c>
      <c r="L62" s="76"/>
      <c r="M62" s="76">
        <v>15</v>
      </c>
      <c r="N62" s="338"/>
      <c r="O62" s="339"/>
    </row>
    <row r="63" spans="1:23">
      <c r="A63" s="74" t="s">
        <v>84</v>
      </c>
      <c r="B63" s="86">
        <v>15</v>
      </c>
      <c r="C63" s="89" t="s">
        <v>129</v>
      </c>
      <c r="D63" s="76"/>
      <c r="E63" s="76">
        <v>13</v>
      </c>
      <c r="F63" s="76"/>
      <c r="G63" s="76">
        <v>25</v>
      </c>
      <c r="H63" s="76">
        <v>20</v>
      </c>
      <c r="I63" s="76">
        <v>20</v>
      </c>
      <c r="J63" s="76">
        <v>40</v>
      </c>
      <c r="K63" s="76">
        <v>35</v>
      </c>
      <c r="L63" s="76"/>
      <c r="M63" s="76">
        <v>15</v>
      </c>
      <c r="N63" s="338"/>
      <c r="O63" s="339"/>
    </row>
    <row r="64" spans="1:23">
      <c r="A64" s="74" t="s">
        <v>84</v>
      </c>
      <c r="B64" s="86">
        <v>16</v>
      </c>
      <c r="C64" s="89" t="s">
        <v>130</v>
      </c>
      <c r="D64" s="76"/>
      <c r="E64" s="76">
        <v>14</v>
      </c>
      <c r="F64" s="76"/>
      <c r="G64" s="76">
        <v>25</v>
      </c>
      <c r="H64" s="76">
        <v>25</v>
      </c>
      <c r="I64" s="76">
        <v>20</v>
      </c>
      <c r="J64" s="76">
        <v>50</v>
      </c>
      <c r="K64" s="76">
        <v>35</v>
      </c>
      <c r="L64" s="76"/>
      <c r="M64" s="76">
        <v>15</v>
      </c>
      <c r="N64" s="340"/>
      <c r="O64" s="341"/>
    </row>
    <row r="65" spans="2:15"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</row>
    <row r="66" spans="2:15">
      <c r="B66" s="235" t="s">
        <v>131</v>
      </c>
      <c r="C66" s="235"/>
    </row>
  </sheetData>
  <mergeCells count="9">
    <mergeCell ref="N57:O64"/>
    <mergeCell ref="C50:C55"/>
    <mergeCell ref="C42:C47"/>
    <mergeCell ref="C35:C38"/>
    <mergeCell ref="B1:C1"/>
    <mergeCell ref="C3:C9"/>
    <mergeCell ref="C10:C15"/>
    <mergeCell ref="C17:C20"/>
    <mergeCell ref="C21:C27"/>
  </mergeCells>
  <phoneticPr fontId="5" type="noConversion"/>
  <pageMargins left="0.11811023622047245" right="0.11811023622047245" top="0.15748031496062992" bottom="0.19685039370078741" header="0.31496062992125984" footer="0.11811023622047245"/>
  <pageSetup paperSize="9" scale="52" fitToHeight="1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3FD7-139B-45BB-903A-850C17207482}">
  <sheetPr>
    <pageSetUpPr fitToPage="1"/>
  </sheetPr>
  <dimension ref="A1:AV287"/>
  <sheetViews>
    <sheetView showGridLines="0" zoomScale="40" zoomScaleNormal="40" workbookViewId="0">
      <pane ySplit="2" topLeftCell="A3" activePane="bottomLeft" state="frozen"/>
      <selection pane="bottomLeft" activeCell="T3" sqref="T3"/>
      <selection activeCell="G211" sqref="G211"/>
    </sheetView>
  </sheetViews>
  <sheetFormatPr defaultColWidth="8.7109375" defaultRowHeight="35.450000000000003"/>
  <cols>
    <col min="1" max="1" width="8.7109375" style="109"/>
    <col min="2" max="2" width="15.85546875" style="109" customWidth="1"/>
    <col min="3" max="3" width="54.28515625" style="109" customWidth="1"/>
    <col min="4" max="4" width="14.7109375" style="131" hidden="1" customWidth="1"/>
    <col min="5" max="5" width="16.140625" style="134" hidden="1" customWidth="1"/>
    <col min="6" max="6" width="11.7109375" style="109" hidden="1" customWidth="1"/>
    <col min="7" max="7" width="23" style="109" hidden="1" customWidth="1"/>
    <col min="8" max="8" width="25.140625" style="135" bestFit="1" customWidth="1"/>
    <col min="9" max="9" width="19" style="109" bestFit="1" customWidth="1"/>
    <col min="10" max="10" width="11.140625" style="109" bestFit="1" customWidth="1"/>
    <col min="11" max="11" width="13.85546875" style="109" bestFit="1" customWidth="1"/>
    <col min="12" max="12" width="11.140625" style="109" bestFit="1" customWidth="1"/>
    <col min="13" max="13" width="15.140625" style="109" bestFit="1" customWidth="1"/>
    <col min="14" max="14" width="14.28515625" style="109" bestFit="1" customWidth="1"/>
    <col min="15" max="15" width="13.5703125" style="109" bestFit="1" customWidth="1"/>
    <col min="16" max="16" width="15" style="109" bestFit="1" customWidth="1"/>
    <col min="17" max="17" width="14.5703125" style="109" bestFit="1" customWidth="1"/>
    <col min="18" max="18" width="20.140625" style="109" bestFit="1" customWidth="1"/>
    <col min="19" max="19" width="18" style="109" hidden="1" customWidth="1"/>
    <col min="20" max="20" width="78.28515625" style="136" bestFit="1" customWidth="1"/>
    <col min="21" max="21" width="35.85546875" style="109" customWidth="1"/>
    <col min="22" max="23" width="8.7109375" style="109"/>
    <col min="24" max="24" width="8.7109375" style="109" customWidth="1"/>
    <col min="25" max="16384" width="8.7109375" style="109"/>
  </cols>
  <sheetData>
    <row r="1" spans="1:48" s="266" customFormat="1" ht="40.5" customHeight="1">
      <c r="B1" s="359" t="s">
        <v>132</v>
      </c>
      <c r="C1" s="359"/>
      <c r="D1" s="359"/>
      <c r="E1" s="267"/>
      <c r="H1" s="267"/>
      <c r="T1" s="268" t="s">
        <v>133</v>
      </c>
    </row>
    <row r="2" spans="1:48" s="96" customFormat="1" ht="191.1" customHeight="1">
      <c r="B2" s="57" t="s">
        <v>3</v>
      </c>
      <c r="C2" s="57" t="s">
        <v>4</v>
      </c>
      <c r="D2" s="57" t="s">
        <v>8</v>
      </c>
      <c r="E2" s="261" t="s">
        <v>134</v>
      </c>
      <c r="F2" s="261" t="s">
        <v>135</v>
      </c>
      <c r="G2" s="261" t="s">
        <v>136</v>
      </c>
      <c r="H2" s="262" t="s">
        <v>85</v>
      </c>
      <c r="I2" s="260" t="s">
        <v>137</v>
      </c>
      <c r="J2" s="260" t="s">
        <v>138</v>
      </c>
      <c r="K2" s="260" t="s">
        <v>139</v>
      </c>
      <c r="L2" s="260" t="s">
        <v>140</v>
      </c>
      <c r="M2" s="260" t="s">
        <v>141</v>
      </c>
      <c r="N2" s="260" t="s">
        <v>142</v>
      </c>
      <c r="O2" s="260" t="s">
        <v>143</v>
      </c>
      <c r="P2" s="260" t="s">
        <v>144</v>
      </c>
      <c r="Q2" s="260" t="s">
        <v>145</v>
      </c>
      <c r="R2" s="357" t="s">
        <v>23</v>
      </c>
      <c r="S2" s="358"/>
      <c r="T2" s="56" t="s">
        <v>24</v>
      </c>
    </row>
    <row r="3" spans="1:48" s="97" customFormat="1">
      <c r="A3" s="97" t="s">
        <v>146</v>
      </c>
      <c r="B3" s="98">
        <v>1</v>
      </c>
      <c r="C3" s="99" t="s">
        <v>147</v>
      </c>
      <c r="D3" s="100">
        <v>200000</v>
      </c>
      <c r="E3" s="101">
        <v>100000</v>
      </c>
      <c r="F3" s="101">
        <v>1.98</v>
      </c>
      <c r="G3" s="102" t="s">
        <v>148</v>
      </c>
      <c r="H3" s="100">
        <v>200000</v>
      </c>
      <c r="I3" s="103"/>
      <c r="J3" s="104">
        <v>1.98</v>
      </c>
      <c r="K3" s="103"/>
      <c r="L3" s="103"/>
      <c r="M3" s="103"/>
      <c r="N3" s="103"/>
      <c r="O3" s="103">
        <v>2</v>
      </c>
      <c r="P3" s="103">
        <v>7.5</v>
      </c>
      <c r="Q3" s="103"/>
      <c r="R3" s="264">
        <f>MIN(I3:Q3)</f>
        <v>1.98</v>
      </c>
      <c r="S3" s="103">
        <f>+H3*R3</f>
        <v>396000</v>
      </c>
      <c r="T3" s="19" t="str" cm="1">
        <f t="array" ref="T3">_xlfn._xlws.FILTER($I$2:$Q$2, I3:Q3=MIN(I3:Q3))</f>
        <v>vendor2</v>
      </c>
    </row>
    <row r="4" spans="1:48" ht="38.450000000000003" customHeight="1">
      <c r="A4" s="97" t="s">
        <v>146</v>
      </c>
      <c r="B4" s="98">
        <v>2</v>
      </c>
      <c r="C4" s="106" t="s">
        <v>149</v>
      </c>
      <c r="D4" s="107">
        <v>310000</v>
      </c>
      <c r="E4" s="101">
        <v>100000</v>
      </c>
      <c r="F4" s="101">
        <v>0.9</v>
      </c>
      <c r="G4" s="102" t="s">
        <v>150</v>
      </c>
      <c r="H4" s="100">
        <v>310000</v>
      </c>
      <c r="I4" s="108"/>
      <c r="J4" s="108">
        <v>1.25</v>
      </c>
      <c r="K4" s="108">
        <v>0.6</v>
      </c>
      <c r="L4" s="108">
        <v>1.05</v>
      </c>
      <c r="M4" s="108"/>
      <c r="N4" s="108"/>
      <c r="O4" s="108">
        <v>1.2</v>
      </c>
      <c r="P4" s="108">
        <v>0.98</v>
      </c>
      <c r="Q4" s="108"/>
      <c r="R4" s="264">
        <v>0.98</v>
      </c>
      <c r="S4" s="103">
        <f t="shared" ref="S4:S28" si="0">+H4*R4</f>
        <v>303800</v>
      </c>
      <c r="T4" s="19" t="s">
        <v>138</v>
      </c>
      <c r="U4" s="364" t="s">
        <v>151</v>
      </c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65"/>
      <c r="AQ4" s="365"/>
      <c r="AR4" s="365"/>
      <c r="AS4" s="365"/>
      <c r="AT4" s="365"/>
      <c r="AU4" s="365"/>
      <c r="AV4" s="365"/>
    </row>
    <row r="5" spans="1:48">
      <c r="A5" s="97" t="s">
        <v>146</v>
      </c>
      <c r="B5" s="110">
        <v>3</v>
      </c>
      <c r="C5" s="111" t="s">
        <v>152</v>
      </c>
      <c r="D5" s="112">
        <v>20000</v>
      </c>
      <c r="E5" s="103"/>
      <c r="F5" s="103"/>
      <c r="G5" s="105"/>
      <c r="H5" s="100">
        <v>20000</v>
      </c>
      <c r="I5" s="103"/>
      <c r="J5" s="103"/>
      <c r="K5" s="103">
        <v>1.85</v>
      </c>
      <c r="L5" s="104">
        <v>1.67</v>
      </c>
      <c r="M5" s="103"/>
      <c r="N5" s="103"/>
      <c r="O5" s="103">
        <v>2.54</v>
      </c>
      <c r="P5" s="103">
        <v>2.5</v>
      </c>
      <c r="Q5" s="103"/>
      <c r="R5" s="264">
        <f>MIN(I5:Q5)</f>
        <v>1.67</v>
      </c>
      <c r="S5" s="103">
        <f t="shared" si="0"/>
        <v>33400</v>
      </c>
      <c r="T5" s="19" t="str" cm="1">
        <f t="array" ref="T5">_xlfn._xlws.FILTER($I$2:$Q$2, I5:Q5=MIN(I5:Q5))</f>
        <v>vendor4</v>
      </c>
    </row>
    <row r="6" spans="1:48" s="117" customFormat="1">
      <c r="A6" s="97" t="s">
        <v>146</v>
      </c>
      <c r="B6" s="113">
        <v>4</v>
      </c>
      <c r="C6" s="114" t="s">
        <v>153</v>
      </c>
      <c r="D6" s="115">
        <v>50</v>
      </c>
      <c r="E6" s="103"/>
      <c r="F6" s="103"/>
      <c r="G6" s="105"/>
      <c r="H6" s="116">
        <v>50</v>
      </c>
      <c r="I6" s="103"/>
      <c r="J6" s="103"/>
      <c r="K6" s="103"/>
      <c r="L6" s="103"/>
      <c r="M6" s="246">
        <v>2500</v>
      </c>
      <c r="N6" s="245">
        <v>3200</v>
      </c>
      <c r="O6" s="103"/>
      <c r="P6" s="103"/>
      <c r="Q6" s="103"/>
      <c r="R6" s="264">
        <f>MIN(I6:Q6)</f>
        <v>2500</v>
      </c>
      <c r="S6" s="103">
        <f t="shared" si="0"/>
        <v>125000</v>
      </c>
      <c r="T6" s="19" t="str" cm="1">
        <f t="array" ref="T6">_xlfn._xlws.FILTER($I$2:$Q$2, I6:Q6=MIN(I6:Q6))</f>
        <v>vendor5</v>
      </c>
      <c r="U6" s="109"/>
      <c r="V6" s="109"/>
    </row>
    <row r="7" spans="1:48" s="117" customFormat="1">
      <c r="A7" s="97" t="s">
        <v>146</v>
      </c>
      <c r="B7" s="113">
        <v>4.0999999999999996</v>
      </c>
      <c r="C7" s="114" t="s">
        <v>154</v>
      </c>
      <c r="D7" s="115">
        <v>50</v>
      </c>
      <c r="E7" s="103"/>
      <c r="F7" s="103"/>
      <c r="G7" s="105"/>
      <c r="H7" s="116">
        <v>50</v>
      </c>
      <c r="I7" s="103"/>
      <c r="J7" s="103"/>
      <c r="K7" s="103"/>
      <c r="L7" s="103"/>
      <c r="M7" s="246">
        <v>750</v>
      </c>
      <c r="N7" s="245">
        <v>850</v>
      </c>
      <c r="O7" s="103"/>
      <c r="P7" s="245"/>
      <c r="Q7" s="103"/>
      <c r="R7" s="264">
        <f>MIN(I7:Q7)</f>
        <v>750</v>
      </c>
      <c r="S7" s="103">
        <f t="shared" si="0"/>
        <v>37500</v>
      </c>
      <c r="T7" s="19" t="str" cm="1">
        <f t="array" ref="T7">_xlfn._xlws.FILTER($I$2:$Q$2, I7:Q7=MIN(I7:Q7))</f>
        <v>vendor5</v>
      </c>
      <c r="U7" s="109"/>
      <c r="V7" s="109"/>
    </row>
    <row r="8" spans="1:48" s="117" customFormat="1">
      <c r="A8" s="97" t="s">
        <v>146</v>
      </c>
      <c r="B8" s="113">
        <v>5</v>
      </c>
      <c r="C8" s="114" t="s">
        <v>155</v>
      </c>
      <c r="D8" s="115">
        <v>50</v>
      </c>
      <c r="E8" s="108"/>
      <c r="F8" s="118"/>
      <c r="G8" s="105"/>
      <c r="H8" s="118">
        <v>50</v>
      </c>
      <c r="I8" s="263">
        <v>950</v>
      </c>
      <c r="J8" s="108"/>
      <c r="K8" s="108"/>
      <c r="L8" s="108"/>
      <c r="M8" s="246">
        <v>2400</v>
      </c>
      <c r="N8" s="263">
        <v>3200</v>
      </c>
      <c r="O8" s="108"/>
      <c r="P8" s="263">
        <v>3900</v>
      </c>
      <c r="Q8" s="108"/>
      <c r="R8" s="264">
        <v>2400</v>
      </c>
      <c r="S8" s="108">
        <f t="shared" si="0"/>
        <v>120000</v>
      </c>
      <c r="T8" s="19" t="str" cm="1">
        <f t="array" ref="T8">_xlfn._xlws.FILTER($I$2:$Q$2, I8:Q8=MIN(I8:Q8))</f>
        <v>vendor1</v>
      </c>
      <c r="U8" s="105"/>
      <c r="V8" s="109"/>
      <c r="W8" s="109"/>
    </row>
    <row r="9" spans="1:48" s="117" customFormat="1" ht="71.45" customHeight="1">
      <c r="A9" s="97" t="s">
        <v>146</v>
      </c>
      <c r="B9" s="113">
        <v>5.0999999999999996</v>
      </c>
      <c r="C9" s="114" t="s">
        <v>156</v>
      </c>
      <c r="D9" s="115">
        <v>50</v>
      </c>
      <c r="E9" s="108"/>
      <c r="F9" s="118"/>
      <c r="G9" s="105"/>
      <c r="H9" s="118">
        <v>50</v>
      </c>
      <c r="I9" s="265" t="s">
        <v>157</v>
      </c>
      <c r="J9" s="108"/>
      <c r="K9" s="108"/>
      <c r="L9" s="108"/>
      <c r="M9" s="246">
        <v>700</v>
      </c>
      <c r="N9" s="263">
        <v>1300</v>
      </c>
      <c r="O9" s="108"/>
      <c r="P9" s="263"/>
      <c r="Q9" s="108"/>
      <c r="R9" s="264">
        <v>700</v>
      </c>
      <c r="S9" s="108">
        <f t="shared" si="0"/>
        <v>35000</v>
      </c>
      <c r="T9" s="19" t="str" cm="1">
        <f t="array" ref="T9">_xlfn._xlws.FILTER($I$2:$Q$2, I9:Q9=MIN(I9:Q9))</f>
        <v>vendor5</v>
      </c>
      <c r="U9" s="105"/>
      <c r="V9" s="109"/>
      <c r="W9" s="109"/>
    </row>
    <row r="10" spans="1:48" s="117" customFormat="1">
      <c r="A10" s="97" t="s">
        <v>146</v>
      </c>
      <c r="B10" s="113">
        <v>6</v>
      </c>
      <c r="C10" s="114" t="s">
        <v>158</v>
      </c>
      <c r="D10" s="115">
        <v>100</v>
      </c>
      <c r="E10" s="103"/>
      <c r="F10" s="103"/>
      <c r="G10" s="105"/>
      <c r="H10" s="116">
        <v>100</v>
      </c>
      <c r="I10" s="246">
        <v>1200</v>
      </c>
      <c r="J10" s="103"/>
      <c r="K10" s="103"/>
      <c r="L10" s="103"/>
      <c r="M10" s="245"/>
      <c r="N10" s="245">
        <v>1280</v>
      </c>
      <c r="O10" s="103"/>
      <c r="P10" s="245">
        <v>4000</v>
      </c>
      <c r="Q10" s="103"/>
      <c r="R10" s="264">
        <f t="shared" ref="R10:R28" si="1">MIN(I10:Q10)</f>
        <v>1200</v>
      </c>
      <c r="S10" s="103">
        <f t="shared" si="0"/>
        <v>120000</v>
      </c>
      <c r="T10" s="19" t="str" cm="1">
        <f t="array" ref="T10">_xlfn._xlws.FILTER($I$2:$Q$2, I10:Q10=MIN(I10:Q10))</f>
        <v>vendor1</v>
      </c>
      <c r="U10" s="109"/>
      <c r="V10" s="109"/>
    </row>
    <row r="11" spans="1:48" s="117" customFormat="1" ht="33.6" customHeight="1">
      <c r="A11" s="97" t="s">
        <v>146</v>
      </c>
      <c r="B11" s="113">
        <v>6.1</v>
      </c>
      <c r="C11" s="114" t="s">
        <v>159</v>
      </c>
      <c r="D11" s="115">
        <v>100</v>
      </c>
      <c r="E11" s="103"/>
      <c r="F11" s="103"/>
      <c r="G11" s="105"/>
      <c r="H11" s="116">
        <v>100</v>
      </c>
      <c r="I11" s="246">
        <v>80</v>
      </c>
      <c r="J11" s="103"/>
      <c r="K11" s="103"/>
      <c r="L11" s="103"/>
      <c r="M11" s="103">
        <v>110</v>
      </c>
      <c r="N11" s="103"/>
      <c r="O11" s="103"/>
      <c r="P11" s="103"/>
      <c r="Q11" s="103"/>
      <c r="R11" s="264">
        <f t="shared" si="1"/>
        <v>80</v>
      </c>
      <c r="S11" s="103">
        <f t="shared" si="0"/>
        <v>8000</v>
      </c>
      <c r="T11" s="19" t="str" cm="1">
        <f t="array" ref="T11">_xlfn._xlws.FILTER($I$2:$Q$2, I11:Q11=MIN(I11:Q11))</f>
        <v>vendor1</v>
      </c>
      <c r="U11" s="109"/>
      <c r="V11" s="109"/>
    </row>
    <row r="12" spans="1:48" s="117" customFormat="1">
      <c r="A12" s="97" t="s">
        <v>146</v>
      </c>
      <c r="B12" s="327">
        <v>7</v>
      </c>
      <c r="C12" s="354" t="s">
        <v>160</v>
      </c>
      <c r="D12" s="115">
        <v>10</v>
      </c>
      <c r="E12" s="103"/>
      <c r="F12" s="103"/>
      <c r="G12" s="105"/>
      <c r="H12" s="116">
        <v>10</v>
      </c>
      <c r="I12" s="103"/>
      <c r="J12" s="103"/>
      <c r="K12" s="103"/>
      <c r="L12" s="103"/>
      <c r="M12" s="103"/>
      <c r="N12" s="103"/>
      <c r="O12" s="103"/>
      <c r="P12" s="245">
        <v>9500</v>
      </c>
      <c r="Q12" s="246">
        <v>4400</v>
      </c>
      <c r="R12" s="264">
        <f t="shared" si="1"/>
        <v>4400</v>
      </c>
      <c r="S12" s="103">
        <f t="shared" si="0"/>
        <v>44000</v>
      </c>
      <c r="T12" s="19" t="str" cm="1">
        <f t="array" ref="T12">_xlfn._xlws.FILTER($I$2:$Q$2, I12:Q12=MIN(I12:Q12))</f>
        <v>vendor9</v>
      </c>
      <c r="U12" s="109"/>
      <c r="V12" s="109"/>
    </row>
    <row r="13" spans="1:48" s="117" customFormat="1">
      <c r="A13" s="97" t="s">
        <v>146</v>
      </c>
      <c r="B13" s="351"/>
      <c r="C13" s="355"/>
      <c r="D13" s="115">
        <v>20</v>
      </c>
      <c r="E13" s="103"/>
      <c r="F13" s="103"/>
      <c r="G13" s="105"/>
      <c r="H13" s="116">
        <v>20</v>
      </c>
      <c r="I13" s="103"/>
      <c r="J13" s="103"/>
      <c r="K13" s="103"/>
      <c r="L13" s="103"/>
      <c r="M13" s="103"/>
      <c r="N13" s="103"/>
      <c r="O13" s="103"/>
      <c r="P13" s="245">
        <v>9300</v>
      </c>
      <c r="Q13" s="246">
        <v>4400</v>
      </c>
      <c r="R13" s="264">
        <f t="shared" si="1"/>
        <v>4400</v>
      </c>
      <c r="S13" s="103">
        <f t="shared" si="0"/>
        <v>88000</v>
      </c>
      <c r="T13" s="19" t="str" cm="1">
        <f t="array" ref="T13">_xlfn._xlws.FILTER($I$2:$Q$2, I13:Q13=MIN(I13:Q13))</f>
        <v>vendor9</v>
      </c>
      <c r="U13" s="109"/>
      <c r="V13" s="109"/>
    </row>
    <row r="14" spans="1:48" s="117" customFormat="1">
      <c r="A14" s="97" t="s">
        <v>146</v>
      </c>
      <c r="B14" s="351"/>
      <c r="C14" s="355"/>
      <c r="D14" s="115">
        <v>30</v>
      </c>
      <c r="E14" s="103"/>
      <c r="F14" s="103"/>
      <c r="G14" s="105"/>
      <c r="H14" s="116">
        <v>30</v>
      </c>
      <c r="I14" s="103"/>
      <c r="J14" s="103"/>
      <c r="K14" s="103"/>
      <c r="L14" s="103"/>
      <c r="M14" s="103"/>
      <c r="N14" s="103"/>
      <c r="O14" s="103"/>
      <c r="P14" s="245">
        <v>9200</v>
      </c>
      <c r="Q14" s="246">
        <v>4400</v>
      </c>
      <c r="R14" s="264">
        <f t="shared" si="1"/>
        <v>4400</v>
      </c>
      <c r="S14" s="103">
        <f t="shared" si="0"/>
        <v>132000</v>
      </c>
      <c r="T14" s="19" t="str" cm="1">
        <f t="array" ref="T14">_xlfn._xlws.FILTER($I$2:$Q$2, I14:Q14=MIN(I14:Q14))</f>
        <v>vendor9</v>
      </c>
      <c r="U14" s="109"/>
      <c r="V14" s="109"/>
    </row>
    <row r="15" spans="1:48" s="117" customFormat="1">
      <c r="A15" s="97" t="s">
        <v>146</v>
      </c>
      <c r="B15" s="351"/>
      <c r="C15" s="355"/>
      <c r="D15" s="115">
        <v>40</v>
      </c>
      <c r="E15" s="103"/>
      <c r="F15" s="103"/>
      <c r="G15" s="105"/>
      <c r="H15" s="116">
        <v>40</v>
      </c>
      <c r="I15" s="103"/>
      <c r="J15" s="103"/>
      <c r="K15" s="103"/>
      <c r="L15" s="103"/>
      <c r="M15" s="103"/>
      <c r="N15" s="103"/>
      <c r="O15" s="103"/>
      <c r="P15" s="245">
        <v>9000</v>
      </c>
      <c r="Q15" s="246">
        <v>4400</v>
      </c>
      <c r="R15" s="264">
        <f t="shared" si="1"/>
        <v>4400</v>
      </c>
      <c r="S15" s="103">
        <f t="shared" si="0"/>
        <v>176000</v>
      </c>
      <c r="T15" s="19" t="str" cm="1">
        <f t="array" ref="T15">_xlfn._xlws.FILTER($I$2:$Q$2, I15:Q15=MIN(I15:Q15))</f>
        <v>vendor9</v>
      </c>
      <c r="U15" s="109"/>
      <c r="V15" s="109"/>
    </row>
    <row r="16" spans="1:48" s="117" customFormat="1">
      <c r="A16" s="97" t="s">
        <v>146</v>
      </c>
      <c r="B16" s="324"/>
      <c r="C16" s="356"/>
      <c r="D16" s="115">
        <v>50</v>
      </c>
      <c r="E16" s="103"/>
      <c r="F16" s="103"/>
      <c r="G16" s="105"/>
      <c r="H16" s="116">
        <v>50</v>
      </c>
      <c r="I16" s="103"/>
      <c r="J16" s="103"/>
      <c r="K16" s="103"/>
      <c r="L16" s="103"/>
      <c r="M16" s="103"/>
      <c r="N16" s="103"/>
      <c r="O16" s="103"/>
      <c r="P16" s="245">
        <v>8900</v>
      </c>
      <c r="Q16" s="246">
        <v>4400</v>
      </c>
      <c r="R16" s="264">
        <f t="shared" si="1"/>
        <v>4400</v>
      </c>
      <c r="S16" s="103">
        <f t="shared" si="0"/>
        <v>220000</v>
      </c>
      <c r="T16" s="19" t="str" cm="1">
        <f t="array" ref="T16">_xlfn._xlws.FILTER($I$2:$Q$2, I16:Q16=MIN(I16:Q16))</f>
        <v>vendor9</v>
      </c>
      <c r="U16" s="109"/>
      <c r="V16" s="109"/>
    </row>
    <row r="17" spans="1:22" s="117" customFormat="1">
      <c r="A17" s="97" t="s">
        <v>146</v>
      </c>
      <c r="B17" s="113">
        <v>8</v>
      </c>
      <c r="C17" s="114" t="s">
        <v>161</v>
      </c>
      <c r="D17" s="115">
        <v>50</v>
      </c>
      <c r="E17" s="103"/>
      <c r="F17" s="108"/>
      <c r="G17" s="105"/>
      <c r="H17" s="116">
        <v>50</v>
      </c>
      <c r="I17" s="108"/>
      <c r="J17" s="108"/>
      <c r="K17" s="246">
        <v>1400</v>
      </c>
      <c r="L17" s="263"/>
      <c r="M17" s="263"/>
      <c r="N17" s="263"/>
      <c r="O17" s="263"/>
      <c r="P17" s="263">
        <v>2200</v>
      </c>
      <c r="Q17" s="263"/>
      <c r="R17" s="264">
        <f t="shared" si="1"/>
        <v>1400</v>
      </c>
      <c r="S17" s="108">
        <f t="shared" si="0"/>
        <v>70000</v>
      </c>
      <c r="T17" s="19" t="str" cm="1">
        <f t="array" ref="T17">_xlfn._xlws.FILTER($I$2:$Q$2, I17:Q17=MIN(I17:Q17))</f>
        <v>vendor3</v>
      </c>
      <c r="U17" s="109"/>
      <c r="V17" s="109"/>
    </row>
    <row r="18" spans="1:22" s="117" customFormat="1">
      <c r="A18" s="97" t="s">
        <v>146</v>
      </c>
      <c r="B18" s="327">
        <v>9</v>
      </c>
      <c r="C18" s="354" t="s">
        <v>162</v>
      </c>
      <c r="D18" s="115">
        <v>50</v>
      </c>
      <c r="E18" s="103"/>
      <c r="F18" s="103"/>
      <c r="G18" s="105"/>
      <c r="H18" s="116">
        <v>50</v>
      </c>
      <c r="I18" s="103"/>
      <c r="J18" s="103"/>
      <c r="K18" s="246">
        <v>1500</v>
      </c>
      <c r="L18" s="263"/>
      <c r="M18" s="263"/>
      <c r="N18" s="263">
        <v>1650</v>
      </c>
      <c r="O18" s="263"/>
      <c r="P18" s="263"/>
      <c r="Q18" s="263"/>
      <c r="R18" s="264">
        <f t="shared" si="1"/>
        <v>1500</v>
      </c>
      <c r="S18" s="108">
        <f t="shared" si="0"/>
        <v>75000</v>
      </c>
      <c r="T18" s="19" t="str" cm="1">
        <f t="array" ref="T18">_xlfn._xlws.FILTER($I$2:$Q$2, I18:Q18=MIN(I18:Q18))</f>
        <v>vendor3</v>
      </c>
      <c r="U18" s="109"/>
      <c r="V18" s="109"/>
    </row>
    <row r="19" spans="1:22" s="117" customFormat="1">
      <c r="A19" s="97" t="s">
        <v>146</v>
      </c>
      <c r="B19" s="324"/>
      <c r="C19" s="356"/>
      <c r="D19" s="115">
        <v>100</v>
      </c>
      <c r="E19" s="103"/>
      <c r="F19" s="103"/>
      <c r="G19" s="105"/>
      <c r="H19" s="116">
        <v>100</v>
      </c>
      <c r="I19" s="103"/>
      <c r="J19" s="103"/>
      <c r="K19" s="246">
        <v>1450</v>
      </c>
      <c r="L19" s="245"/>
      <c r="M19" s="245"/>
      <c r="N19" s="245">
        <v>1500</v>
      </c>
      <c r="O19" s="245"/>
      <c r="P19" s="245">
        <v>4500</v>
      </c>
      <c r="Q19" s="245"/>
      <c r="R19" s="264">
        <f>MIN(I19:Q19)</f>
        <v>1450</v>
      </c>
      <c r="S19" s="103">
        <f t="shared" si="0"/>
        <v>145000</v>
      </c>
      <c r="T19" s="19" t="str" cm="1">
        <f t="array" ref="T19">_xlfn._xlws.FILTER($I$2:$Q$2, I19:Q19=MIN(I19:Q19))</f>
        <v>vendor3</v>
      </c>
      <c r="U19" s="109"/>
      <c r="V19" s="109"/>
    </row>
    <row r="20" spans="1:22" ht="39.6" customHeight="1">
      <c r="A20" s="97" t="s">
        <v>146</v>
      </c>
      <c r="B20" s="360">
        <v>10</v>
      </c>
      <c r="C20" s="362" t="s">
        <v>163</v>
      </c>
      <c r="D20" s="115" t="s">
        <v>164</v>
      </c>
      <c r="E20" s="103"/>
      <c r="F20" s="103"/>
      <c r="G20" s="105"/>
      <c r="H20" s="116">
        <v>50</v>
      </c>
      <c r="I20" s="103"/>
      <c r="J20" s="103"/>
      <c r="K20" s="245">
        <v>1850</v>
      </c>
      <c r="L20" s="245"/>
      <c r="M20" s="245"/>
      <c r="N20" s="246">
        <v>1550</v>
      </c>
      <c r="O20" s="245">
        <v>1700</v>
      </c>
      <c r="P20" s="245"/>
      <c r="Q20" s="245"/>
      <c r="R20" s="264">
        <f>MIN(I20:Q20)</f>
        <v>1550</v>
      </c>
      <c r="S20" s="103">
        <f>+H20*R20</f>
        <v>77500</v>
      </c>
      <c r="T20" s="19" t="str" cm="1">
        <f t="array" ref="T20">_xlfn._xlws.FILTER($I$2:$Q$2, I20:Q20=MIN(I20:Q20))</f>
        <v>vendor6</v>
      </c>
    </row>
    <row r="21" spans="1:22">
      <c r="A21" s="97" t="s">
        <v>146</v>
      </c>
      <c r="B21" s="361"/>
      <c r="C21" s="363"/>
      <c r="D21" s="115"/>
      <c r="E21" s="103"/>
      <c r="F21" s="103"/>
      <c r="G21" s="105"/>
      <c r="H21" s="116">
        <v>100</v>
      </c>
      <c r="I21" s="103"/>
      <c r="J21" s="103"/>
      <c r="K21" s="245">
        <v>1800</v>
      </c>
      <c r="L21" s="245"/>
      <c r="M21" s="245"/>
      <c r="N21" s="246">
        <v>1400</v>
      </c>
      <c r="O21" s="245">
        <v>1620</v>
      </c>
      <c r="P21" s="245"/>
      <c r="Q21" s="245"/>
      <c r="R21" s="264">
        <f t="shared" si="1"/>
        <v>1400</v>
      </c>
      <c r="S21" s="103">
        <f t="shared" si="0"/>
        <v>140000</v>
      </c>
      <c r="T21" s="19" t="str" cm="1">
        <f t="array" ref="T21">_xlfn._xlws.FILTER($I$2:$Q$2, I21:Q21=MIN(I21:Q21))</f>
        <v>vendor6</v>
      </c>
    </row>
    <row r="22" spans="1:22">
      <c r="A22" s="97" t="s">
        <v>146</v>
      </c>
      <c r="B22" s="327">
        <v>11</v>
      </c>
      <c r="C22" s="352" t="s">
        <v>165</v>
      </c>
      <c r="D22" s="122">
        <v>100</v>
      </c>
      <c r="E22" s="103"/>
      <c r="F22" s="103"/>
      <c r="G22" s="105"/>
      <c r="H22" s="123">
        <v>100</v>
      </c>
      <c r="I22" s="103"/>
      <c r="J22" s="103"/>
      <c r="K22" s="246">
        <v>145</v>
      </c>
      <c r="L22" s="245"/>
      <c r="M22" s="245"/>
      <c r="N22" s="245">
        <v>365</v>
      </c>
      <c r="O22" s="245"/>
      <c r="P22" s="245">
        <v>900</v>
      </c>
      <c r="Q22" s="245"/>
      <c r="R22" s="264">
        <f t="shared" si="1"/>
        <v>145</v>
      </c>
      <c r="S22" s="103">
        <f t="shared" si="0"/>
        <v>14500</v>
      </c>
      <c r="T22" s="19" t="str" cm="1">
        <f t="array" ref="T22">_xlfn._xlws.FILTER($I$2:$Q$2, I22:Q22=MIN(I22:Q22))</f>
        <v>vendor3</v>
      </c>
    </row>
    <row r="23" spans="1:22">
      <c r="A23" s="97" t="s">
        <v>146</v>
      </c>
      <c r="B23" s="351"/>
      <c r="C23" s="353"/>
      <c r="D23" s="122">
        <v>200</v>
      </c>
      <c r="E23" s="103"/>
      <c r="F23" s="103"/>
      <c r="G23" s="105"/>
      <c r="H23" s="123">
        <v>200</v>
      </c>
      <c r="I23" s="103"/>
      <c r="J23" s="103"/>
      <c r="K23" s="246">
        <v>140</v>
      </c>
      <c r="L23" s="245"/>
      <c r="M23" s="245"/>
      <c r="N23" s="245">
        <v>288</v>
      </c>
      <c r="O23" s="245"/>
      <c r="P23" s="245">
        <v>850</v>
      </c>
      <c r="Q23" s="245"/>
      <c r="R23" s="264">
        <f t="shared" si="1"/>
        <v>140</v>
      </c>
      <c r="S23" s="103">
        <f t="shared" si="0"/>
        <v>28000</v>
      </c>
      <c r="T23" s="19" t="str" cm="1">
        <f t="array" ref="T23">_xlfn._xlws.FILTER($I$2:$Q$2, I23:Q23=MIN(I23:Q23))</f>
        <v>vendor3</v>
      </c>
    </row>
    <row r="24" spans="1:22">
      <c r="A24" s="97" t="s">
        <v>146</v>
      </c>
      <c r="B24" s="351"/>
      <c r="C24" s="353"/>
      <c r="D24" s="122">
        <v>300</v>
      </c>
      <c r="E24" s="103"/>
      <c r="F24" s="103"/>
      <c r="G24" s="105"/>
      <c r="H24" s="123">
        <v>300</v>
      </c>
      <c r="I24" s="103"/>
      <c r="J24" s="103"/>
      <c r="K24" s="246">
        <v>135</v>
      </c>
      <c r="L24" s="245"/>
      <c r="M24" s="245"/>
      <c r="N24" s="245">
        <v>275</v>
      </c>
      <c r="O24" s="245">
        <v>500</v>
      </c>
      <c r="P24" s="245">
        <v>800</v>
      </c>
      <c r="Q24" s="245"/>
      <c r="R24" s="264">
        <f t="shared" si="1"/>
        <v>135</v>
      </c>
      <c r="S24" s="103">
        <f t="shared" si="0"/>
        <v>40500</v>
      </c>
      <c r="T24" s="19" t="str" cm="1">
        <f t="array" ref="T24">_xlfn._xlws.FILTER($I$2:$Q$2, I24:Q24=MIN(I24:Q24))</f>
        <v>vendor3</v>
      </c>
    </row>
    <row r="25" spans="1:22">
      <c r="A25" s="97" t="s">
        <v>146</v>
      </c>
      <c r="B25" s="351"/>
      <c r="C25" s="353"/>
      <c r="D25" s="122">
        <v>400</v>
      </c>
      <c r="E25" s="103"/>
      <c r="F25" s="103"/>
      <c r="G25" s="105"/>
      <c r="H25" s="123">
        <v>400</v>
      </c>
      <c r="I25" s="103"/>
      <c r="J25" s="103"/>
      <c r="K25" s="246">
        <v>130</v>
      </c>
      <c r="L25" s="245"/>
      <c r="M25" s="245"/>
      <c r="N25" s="245">
        <v>265</v>
      </c>
      <c r="O25" s="245">
        <v>500</v>
      </c>
      <c r="P25" s="245">
        <v>750</v>
      </c>
      <c r="Q25" s="245"/>
      <c r="R25" s="264">
        <f t="shared" si="1"/>
        <v>130</v>
      </c>
      <c r="S25" s="103">
        <f t="shared" si="0"/>
        <v>52000</v>
      </c>
      <c r="T25" s="19" t="str" cm="1">
        <f t="array" ref="T25">_xlfn._xlws.FILTER($I$2:$Q$2, I25:Q25=MIN(I25:Q25))</f>
        <v>vendor3</v>
      </c>
    </row>
    <row r="26" spans="1:22">
      <c r="A26" s="97" t="s">
        <v>146</v>
      </c>
      <c r="B26" s="351"/>
      <c r="C26" s="353"/>
      <c r="D26" s="122">
        <v>500</v>
      </c>
      <c r="E26" s="103"/>
      <c r="F26" s="103"/>
      <c r="G26" s="105"/>
      <c r="H26" s="123">
        <v>500</v>
      </c>
      <c r="I26" s="103"/>
      <c r="J26" s="103"/>
      <c r="K26" s="246">
        <v>125</v>
      </c>
      <c r="L26" s="245"/>
      <c r="M26" s="245"/>
      <c r="N26" s="245">
        <v>260</v>
      </c>
      <c r="O26" s="245">
        <v>430</v>
      </c>
      <c r="P26" s="245">
        <v>700</v>
      </c>
      <c r="Q26" s="245"/>
      <c r="R26" s="264">
        <f t="shared" si="1"/>
        <v>125</v>
      </c>
      <c r="S26" s="103">
        <f t="shared" si="0"/>
        <v>62500</v>
      </c>
      <c r="T26" s="19" t="str" cm="1">
        <f t="array" ref="T26">_xlfn._xlws.FILTER($I$2:$Q$2, I26:Q26=MIN(I26:Q26))</f>
        <v>vendor3</v>
      </c>
    </row>
    <row r="27" spans="1:22">
      <c r="A27" s="97" t="s">
        <v>146</v>
      </c>
      <c r="B27" s="119">
        <v>12</v>
      </c>
      <c r="C27" s="124" t="s">
        <v>166</v>
      </c>
      <c r="D27" s="125" t="s">
        <v>167</v>
      </c>
      <c r="E27" s="103"/>
      <c r="F27" s="103"/>
      <c r="G27" s="105"/>
      <c r="H27" s="126">
        <v>5</v>
      </c>
      <c r="I27" s="103"/>
      <c r="J27" s="103"/>
      <c r="K27" s="245"/>
      <c r="L27" s="245"/>
      <c r="M27" s="245"/>
      <c r="N27" s="245"/>
      <c r="O27" s="245"/>
      <c r="P27" s="245">
        <v>800</v>
      </c>
      <c r="Q27" s="246">
        <v>380</v>
      </c>
      <c r="R27" s="264">
        <f t="shared" si="1"/>
        <v>380</v>
      </c>
      <c r="S27" s="103">
        <f>+H27*R27</f>
        <v>1900</v>
      </c>
      <c r="T27" s="19" t="str" cm="1">
        <f t="array" ref="T27">_xlfn._xlws.FILTER($I$2:$Q$2, I27:Q27=MIN(I27:Q27))</f>
        <v>vendor9</v>
      </c>
    </row>
    <row r="28" spans="1:22">
      <c r="A28" s="97"/>
      <c r="B28" s="127"/>
      <c r="C28" s="128"/>
      <c r="D28" s="129" t="s">
        <v>168</v>
      </c>
      <c r="E28" s="103"/>
      <c r="F28" s="103"/>
      <c r="G28" s="105"/>
      <c r="H28" s="130">
        <v>10</v>
      </c>
      <c r="I28" s="103"/>
      <c r="J28" s="103"/>
      <c r="K28" s="245"/>
      <c r="L28" s="245"/>
      <c r="M28" s="245"/>
      <c r="N28" s="245"/>
      <c r="O28" s="245"/>
      <c r="P28" s="245">
        <v>780</v>
      </c>
      <c r="Q28" s="246">
        <v>380</v>
      </c>
      <c r="R28" s="264">
        <f t="shared" si="1"/>
        <v>380</v>
      </c>
      <c r="S28" s="103">
        <f t="shared" si="0"/>
        <v>3800</v>
      </c>
      <c r="T28" s="19" t="str" cm="1">
        <f t="array" ref="T28">_xlfn._xlws.FILTER($I$2:$Q$2, I28:Q28=MIN(I28:Q28))</f>
        <v>vendor9</v>
      </c>
    </row>
    <row r="29" spans="1:22">
      <c r="E29" s="109"/>
      <c r="H29" s="132"/>
      <c r="S29" s="133">
        <f>SUM(S3:S28)</f>
        <v>2549400</v>
      </c>
    </row>
    <row r="30" spans="1:22">
      <c r="E30" s="109"/>
      <c r="H30" s="132"/>
    </row>
    <row r="31" spans="1:22">
      <c r="E31" s="109"/>
      <c r="H31" s="132"/>
    </row>
    <row r="32" spans="1:22">
      <c r="E32" s="109"/>
      <c r="H32" s="132"/>
    </row>
    <row r="33" spans="5:8">
      <c r="E33" s="109"/>
      <c r="H33" s="132"/>
    </row>
    <row r="34" spans="5:8">
      <c r="E34" s="109"/>
      <c r="H34" s="132"/>
    </row>
    <row r="35" spans="5:8">
      <c r="E35" s="109"/>
      <c r="H35" s="132"/>
    </row>
    <row r="36" spans="5:8">
      <c r="E36" s="109"/>
      <c r="H36" s="132"/>
    </row>
    <row r="37" spans="5:8">
      <c r="E37" s="109"/>
      <c r="H37" s="132"/>
    </row>
    <row r="38" spans="5:8">
      <c r="E38" s="109"/>
      <c r="H38" s="132"/>
    </row>
    <row r="39" spans="5:8">
      <c r="E39" s="109"/>
      <c r="H39" s="132"/>
    </row>
    <row r="40" spans="5:8">
      <c r="E40" s="109"/>
      <c r="H40" s="132"/>
    </row>
    <row r="41" spans="5:8">
      <c r="E41" s="109"/>
      <c r="H41" s="132"/>
    </row>
    <row r="42" spans="5:8">
      <c r="E42" s="109"/>
      <c r="H42" s="132"/>
    </row>
    <row r="43" spans="5:8">
      <c r="E43" s="109"/>
      <c r="H43" s="132"/>
    </row>
    <row r="44" spans="5:8">
      <c r="E44" s="109"/>
      <c r="H44" s="132"/>
    </row>
    <row r="45" spans="5:8">
      <c r="E45" s="109"/>
      <c r="H45" s="132"/>
    </row>
    <row r="46" spans="5:8">
      <c r="E46" s="109"/>
      <c r="H46" s="132"/>
    </row>
    <row r="47" spans="5:8">
      <c r="E47" s="109"/>
      <c r="H47" s="132"/>
    </row>
    <row r="48" spans="5:8">
      <c r="E48" s="109"/>
      <c r="H48" s="132"/>
    </row>
    <row r="49" spans="5:8">
      <c r="E49" s="109"/>
      <c r="H49" s="132"/>
    </row>
    <row r="50" spans="5:8">
      <c r="E50" s="109"/>
      <c r="H50" s="132"/>
    </row>
    <row r="51" spans="5:8">
      <c r="E51" s="109"/>
      <c r="H51" s="132"/>
    </row>
    <row r="52" spans="5:8">
      <c r="E52" s="109"/>
      <c r="H52" s="132"/>
    </row>
    <row r="53" spans="5:8">
      <c r="E53" s="109"/>
      <c r="H53" s="132"/>
    </row>
    <row r="54" spans="5:8">
      <c r="E54" s="109"/>
      <c r="H54" s="132"/>
    </row>
    <row r="55" spans="5:8">
      <c r="E55" s="109"/>
      <c r="H55" s="132"/>
    </row>
    <row r="56" spans="5:8">
      <c r="E56" s="109"/>
      <c r="H56" s="132"/>
    </row>
    <row r="57" spans="5:8">
      <c r="E57" s="109"/>
      <c r="H57" s="132"/>
    </row>
    <row r="58" spans="5:8">
      <c r="E58" s="109"/>
      <c r="H58" s="132"/>
    </row>
    <row r="59" spans="5:8">
      <c r="E59" s="109"/>
      <c r="H59" s="132"/>
    </row>
    <row r="60" spans="5:8">
      <c r="E60" s="109"/>
      <c r="H60" s="132"/>
    </row>
    <row r="61" spans="5:8">
      <c r="E61" s="109"/>
      <c r="H61" s="132"/>
    </row>
    <row r="62" spans="5:8">
      <c r="E62" s="109"/>
      <c r="H62" s="132"/>
    </row>
    <row r="63" spans="5:8">
      <c r="E63" s="109"/>
      <c r="H63" s="132"/>
    </row>
    <row r="64" spans="5:8">
      <c r="E64" s="109"/>
      <c r="H64" s="132"/>
    </row>
    <row r="65" spans="5:8">
      <c r="E65" s="109"/>
      <c r="H65" s="132"/>
    </row>
    <row r="66" spans="5:8">
      <c r="E66" s="109"/>
      <c r="H66" s="132"/>
    </row>
    <row r="67" spans="5:8">
      <c r="E67" s="109"/>
      <c r="H67" s="132"/>
    </row>
    <row r="68" spans="5:8">
      <c r="E68" s="109"/>
      <c r="H68" s="132"/>
    </row>
    <row r="69" spans="5:8">
      <c r="E69" s="109"/>
      <c r="H69" s="132"/>
    </row>
    <row r="70" spans="5:8">
      <c r="E70" s="109"/>
      <c r="H70" s="132"/>
    </row>
    <row r="71" spans="5:8">
      <c r="E71" s="109"/>
      <c r="H71" s="132"/>
    </row>
    <row r="72" spans="5:8">
      <c r="E72" s="109"/>
      <c r="H72" s="132"/>
    </row>
    <row r="73" spans="5:8">
      <c r="E73" s="109"/>
      <c r="H73" s="132"/>
    </row>
    <row r="74" spans="5:8">
      <c r="E74" s="109"/>
      <c r="H74" s="132"/>
    </row>
    <row r="75" spans="5:8">
      <c r="E75" s="109"/>
      <c r="H75" s="132"/>
    </row>
    <row r="76" spans="5:8">
      <c r="E76" s="109"/>
      <c r="H76" s="132"/>
    </row>
    <row r="77" spans="5:8">
      <c r="E77" s="109"/>
      <c r="H77" s="132"/>
    </row>
    <row r="78" spans="5:8">
      <c r="E78" s="109"/>
      <c r="H78" s="132"/>
    </row>
    <row r="79" spans="5:8">
      <c r="E79" s="109"/>
      <c r="H79" s="132"/>
    </row>
    <row r="80" spans="5:8">
      <c r="E80" s="109"/>
      <c r="H80" s="132"/>
    </row>
    <row r="81" spans="5:8">
      <c r="E81" s="109"/>
      <c r="H81" s="132"/>
    </row>
    <row r="82" spans="5:8">
      <c r="E82" s="109"/>
      <c r="H82" s="132"/>
    </row>
    <row r="83" spans="5:8">
      <c r="E83" s="109"/>
      <c r="H83" s="132"/>
    </row>
    <row r="84" spans="5:8">
      <c r="E84" s="109"/>
      <c r="H84" s="132"/>
    </row>
    <row r="85" spans="5:8">
      <c r="E85" s="109"/>
      <c r="H85" s="132"/>
    </row>
    <row r="86" spans="5:8">
      <c r="E86" s="109"/>
      <c r="H86" s="132"/>
    </row>
    <row r="87" spans="5:8">
      <c r="E87" s="109"/>
      <c r="H87" s="132"/>
    </row>
    <row r="88" spans="5:8">
      <c r="E88" s="109"/>
      <c r="H88" s="132"/>
    </row>
    <row r="89" spans="5:8">
      <c r="E89" s="109"/>
      <c r="H89" s="132"/>
    </row>
    <row r="90" spans="5:8">
      <c r="E90" s="109"/>
      <c r="H90" s="132"/>
    </row>
    <row r="91" spans="5:8">
      <c r="E91" s="109"/>
      <c r="H91" s="132"/>
    </row>
    <row r="92" spans="5:8">
      <c r="E92" s="109"/>
      <c r="H92" s="132"/>
    </row>
    <row r="93" spans="5:8">
      <c r="E93" s="109"/>
      <c r="H93" s="132"/>
    </row>
    <row r="94" spans="5:8">
      <c r="E94" s="109"/>
      <c r="H94" s="132"/>
    </row>
    <row r="95" spans="5:8">
      <c r="E95" s="109"/>
      <c r="H95" s="132"/>
    </row>
    <row r="96" spans="5:8">
      <c r="E96" s="109"/>
      <c r="H96" s="132"/>
    </row>
    <row r="97" spans="5:8">
      <c r="E97" s="109"/>
      <c r="H97" s="132"/>
    </row>
    <row r="98" spans="5:8">
      <c r="E98" s="109"/>
      <c r="H98" s="132"/>
    </row>
    <row r="99" spans="5:8">
      <c r="E99" s="109"/>
      <c r="H99" s="132"/>
    </row>
    <row r="100" spans="5:8">
      <c r="E100" s="109"/>
      <c r="H100" s="132"/>
    </row>
    <row r="101" spans="5:8">
      <c r="E101" s="109"/>
      <c r="H101" s="132"/>
    </row>
    <row r="102" spans="5:8">
      <c r="E102" s="109"/>
      <c r="H102" s="132"/>
    </row>
    <row r="103" spans="5:8">
      <c r="E103" s="109"/>
      <c r="H103" s="132"/>
    </row>
    <row r="104" spans="5:8">
      <c r="E104" s="109"/>
      <c r="H104" s="132"/>
    </row>
    <row r="105" spans="5:8">
      <c r="E105" s="109"/>
      <c r="H105" s="132"/>
    </row>
    <row r="106" spans="5:8">
      <c r="E106" s="109"/>
      <c r="H106" s="132"/>
    </row>
    <row r="107" spans="5:8">
      <c r="E107" s="109"/>
      <c r="H107" s="132"/>
    </row>
    <row r="108" spans="5:8">
      <c r="E108" s="109"/>
      <c r="H108" s="132"/>
    </row>
    <row r="109" spans="5:8">
      <c r="E109" s="109"/>
      <c r="H109" s="132"/>
    </row>
    <row r="110" spans="5:8">
      <c r="E110" s="109"/>
      <c r="H110" s="132"/>
    </row>
    <row r="111" spans="5:8">
      <c r="E111" s="109"/>
      <c r="H111" s="132"/>
    </row>
    <row r="112" spans="5:8">
      <c r="E112" s="109"/>
      <c r="H112" s="132"/>
    </row>
    <row r="113" spans="5:8">
      <c r="E113" s="109"/>
      <c r="H113" s="132"/>
    </row>
    <row r="114" spans="5:8">
      <c r="E114" s="109"/>
      <c r="H114" s="132"/>
    </row>
    <row r="115" spans="5:8">
      <c r="E115" s="109"/>
      <c r="H115" s="132"/>
    </row>
    <row r="116" spans="5:8">
      <c r="E116" s="109"/>
      <c r="H116" s="132"/>
    </row>
    <row r="117" spans="5:8">
      <c r="E117" s="109"/>
      <c r="H117" s="132"/>
    </row>
    <row r="118" spans="5:8">
      <c r="E118" s="109"/>
      <c r="H118" s="132"/>
    </row>
    <row r="119" spans="5:8">
      <c r="E119" s="109"/>
      <c r="H119" s="132"/>
    </row>
    <row r="120" spans="5:8">
      <c r="E120" s="109"/>
      <c r="H120" s="132"/>
    </row>
    <row r="121" spans="5:8">
      <c r="E121" s="109"/>
      <c r="H121" s="132"/>
    </row>
    <row r="122" spans="5:8">
      <c r="E122" s="109"/>
      <c r="H122" s="132"/>
    </row>
    <row r="123" spans="5:8">
      <c r="E123" s="109"/>
      <c r="H123" s="132"/>
    </row>
    <row r="124" spans="5:8">
      <c r="E124" s="109"/>
      <c r="H124" s="132"/>
    </row>
    <row r="125" spans="5:8">
      <c r="E125" s="109"/>
      <c r="H125" s="132"/>
    </row>
    <row r="126" spans="5:8">
      <c r="E126" s="109"/>
      <c r="H126" s="132"/>
    </row>
    <row r="127" spans="5:8">
      <c r="E127" s="109"/>
      <c r="H127" s="132"/>
    </row>
    <row r="128" spans="5:8">
      <c r="E128" s="109"/>
      <c r="H128" s="132"/>
    </row>
    <row r="129" spans="5:8">
      <c r="E129" s="109"/>
      <c r="H129" s="132"/>
    </row>
    <row r="130" spans="5:8">
      <c r="E130" s="109"/>
      <c r="H130" s="132"/>
    </row>
    <row r="131" spans="5:8">
      <c r="E131" s="109"/>
      <c r="H131" s="132"/>
    </row>
    <row r="132" spans="5:8">
      <c r="E132" s="109"/>
      <c r="H132" s="132"/>
    </row>
    <row r="133" spans="5:8">
      <c r="E133" s="109"/>
      <c r="H133" s="132"/>
    </row>
    <row r="134" spans="5:8">
      <c r="E134" s="109"/>
      <c r="H134" s="132"/>
    </row>
    <row r="135" spans="5:8">
      <c r="E135" s="109"/>
      <c r="H135" s="132"/>
    </row>
    <row r="136" spans="5:8">
      <c r="E136" s="109"/>
      <c r="H136" s="132"/>
    </row>
    <row r="137" spans="5:8">
      <c r="E137" s="109"/>
      <c r="H137" s="132"/>
    </row>
    <row r="138" spans="5:8">
      <c r="E138" s="109"/>
      <c r="H138" s="132"/>
    </row>
    <row r="139" spans="5:8">
      <c r="E139" s="109"/>
      <c r="H139" s="132"/>
    </row>
    <row r="140" spans="5:8">
      <c r="E140" s="109"/>
      <c r="H140" s="132"/>
    </row>
    <row r="141" spans="5:8">
      <c r="E141" s="109"/>
      <c r="H141" s="132"/>
    </row>
    <row r="142" spans="5:8">
      <c r="E142" s="109"/>
      <c r="H142" s="132"/>
    </row>
    <row r="143" spans="5:8">
      <c r="E143" s="109"/>
      <c r="H143" s="132"/>
    </row>
    <row r="144" spans="5:8">
      <c r="E144" s="109"/>
      <c r="H144" s="132"/>
    </row>
    <row r="145" spans="5:8">
      <c r="E145" s="109"/>
      <c r="H145" s="132"/>
    </row>
    <row r="146" spans="5:8">
      <c r="E146" s="109"/>
      <c r="H146" s="132"/>
    </row>
    <row r="147" spans="5:8">
      <c r="E147" s="109"/>
      <c r="H147" s="132"/>
    </row>
    <row r="148" spans="5:8">
      <c r="E148" s="109"/>
      <c r="H148" s="132"/>
    </row>
    <row r="149" spans="5:8">
      <c r="E149" s="109"/>
      <c r="H149" s="132"/>
    </row>
    <row r="150" spans="5:8">
      <c r="E150" s="109"/>
      <c r="H150" s="132"/>
    </row>
    <row r="151" spans="5:8">
      <c r="E151" s="109"/>
      <c r="H151" s="132"/>
    </row>
    <row r="152" spans="5:8">
      <c r="E152" s="109"/>
      <c r="H152" s="132"/>
    </row>
    <row r="153" spans="5:8">
      <c r="E153" s="109"/>
      <c r="H153" s="132"/>
    </row>
    <row r="154" spans="5:8">
      <c r="E154" s="109"/>
      <c r="H154" s="132"/>
    </row>
    <row r="155" spans="5:8">
      <c r="E155" s="109"/>
      <c r="H155" s="132"/>
    </row>
    <row r="156" spans="5:8">
      <c r="E156" s="109"/>
      <c r="H156" s="132"/>
    </row>
    <row r="157" spans="5:8">
      <c r="E157" s="109"/>
      <c r="H157" s="132"/>
    </row>
    <row r="158" spans="5:8">
      <c r="E158" s="109"/>
      <c r="H158" s="132"/>
    </row>
    <row r="159" spans="5:8">
      <c r="E159" s="109"/>
      <c r="H159" s="132"/>
    </row>
    <row r="160" spans="5:8">
      <c r="E160" s="109"/>
      <c r="H160" s="132"/>
    </row>
    <row r="161" spans="5:8">
      <c r="E161" s="109"/>
      <c r="H161" s="132"/>
    </row>
    <row r="162" spans="5:8">
      <c r="E162" s="109"/>
      <c r="H162" s="132"/>
    </row>
    <row r="163" spans="5:8">
      <c r="E163" s="109"/>
      <c r="H163" s="132"/>
    </row>
    <row r="164" spans="5:8">
      <c r="E164" s="109"/>
      <c r="H164" s="132"/>
    </row>
    <row r="165" spans="5:8">
      <c r="E165" s="109"/>
      <c r="H165" s="132"/>
    </row>
    <row r="166" spans="5:8">
      <c r="E166" s="109"/>
      <c r="H166" s="132"/>
    </row>
    <row r="167" spans="5:8">
      <c r="E167" s="109"/>
      <c r="H167" s="132"/>
    </row>
    <row r="168" spans="5:8">
      <c r="E168" s="109"/>
      <c r="H168" s="132"/>
    </row>
    <row r="169" spans="5:8">
      <c r="E169" s="109"/>
      <c r="H169" s="132"/>
    </row>
    <row r="170" spans="5:8">
      <c r="E170" s="109"/>
      <c r="H170" s="132"/>
    </row>
    <row r="171" spans="5:8">
      <c r="E171" s="109"/>
      <c r="H171" s="132"/>
    </row>
    <row r="172" spans="5:8">
      <c r="E172" s="109"/>
      <c r="H172" s="132"/>
    </row>
    <row r="173" spans="5:8">
      <c r="E173" s="109"/>
      <c r="H173" s="132"/>
    </row>
    <row r="174" spans="5:8">
      <c r="E174" s="109"/>
      <c r="H174" s="132"/>
    </row>
    <row r="175" spans="5:8">
      <c r="E175" s="109"/>
      <c r="H175" s="132"/>
    </row>
    <row r="176" spans="5:8">
      <c r="E176" s="109"/>
      <c r="H176" s="132"/>
    </row>
    <row r="177" spans="5:8">
      <c r="E177" s="109"/>
      <c r="H177" s="132"/>
    </row>
    <row r="178" spans="5:8">
      <c r="E178" s="109"/>
      <c r="H178" s="132"/>
    </row>
    <row r="179" spans="5:8">
      <c r="E179" s="109"/>
      <c r="H179" s="132"/>
    </row>
    <row r="180" spans="5:8">
      <c r="E180" s="109"/>
      <c r="H180" s="132"/>
    </row>
    <row r="181" spans="5:8">
      <c r="E181" s="109"/>
      <c r="H181" s="132"/>
    </row>
    <row r="182" spans="5:8">
      <c r="E182" s="109"/>
      <c r="H182" s="132"/>
    </row>
    <row r="183" spans="5:8">
      <c r="E183" s="109"/>
      <c r="H183" s="132"/>
    </row>
    <row r="184" spans="5:8">
      <c r="E184" s="109"/>
      <c r="H184" s="132"/>
    </row>
    <row r="185" spans="5:8">
      <c r="E185" s="109"/>
      <c r="H185" s="132"/>
    </row>
    <row r="186" spans="5:8">
      <c r="E186" s="109"/>
      <c r="H186" s="132"/>
    </row>
    <row r="187" spans="5:8">
      <c r="E187" s="109"/>
      <c r="H187" s="132"/>
    </row>
    <row r="188" spans="5:8">
      <c r="E188" s="109"/>
      <c r="H188" s="132"/>
    </row>
    <row r="189" spans="5:8">
      <c r="E189" s="109"/>
      <c r="H189" s="132"/>
    </row>
    <row r="190" spans="5:8">
      <c r="E190" s="109"/>
      <c r="H190" s="132"/>
    </row>
    <row r="191" spans="5:8">
      <c r="E191" s="109"/>
      <c r="H191" s="132"/>
    </row>
    <row r="192" spans="5:8">
      <c r="E192" s="109"/>
      <c r="H192" s="132"/>
    </row>
    <row r="193" spans="5:8">
      <c r="E193" s="109"/>
      <c r="H193" s="132"/>
    </row>
    <row r="194" spans="5:8">
      <c r="E194" s="109"/>
      <c r="H194" s="132"/>
    </row>
    <row r="195" spans="5:8">
      <c r="E195" s="109"/>
      <c r="H195" s="132"/>
    </row>
    <row r="196" spans="5:8">
      <c r="E196" s="109"/>
      <c r="H196" s="132"/>
    </row>
    <row r="197" spans="5:8">
      <c r="E197" s="109"/>
      <c r="H197" s="132"/>
    </row>
    <row r="198" spans="5:8">
      <c r="E198" s="109"/>
      <c r="H198" s="132"/>
    </row>
    <row r="199" spans="5:8">
      <c r="E199" s="109"/>
      <c r="H199" s="132"/>
    </row>
    <row r="200" spans="5:8">
      <c r="E200" s="109"/>
      <c r="H200" s="132"/>
    </row>
    <row r="201" spans="5:8">
      <c r="E201" s="109"/>
      <c r="H201" s="132"/>
    </row>
    <row r="202" spans="5:8">
      <c r="E202" s="109"/>
      <c r="H202" s="132"/>
    </row>
    <row r="203" spans="5:8">
      <c r="E203" s="109"/>
      <c r="H203" s="132"/>
    </row>
    <row r="204" spans="5:8">
      <c r="E204" s="109"/>
      <c r="H204" s="132"/>
    </row>
    <row r="205" spans="5:8">
      <c r="E205" s="109"/>
      <c r="H205" s="132"/>
    </row>
    <row r="206" spans="5:8">
      <c r="E206" s="109"/>
      <c r="H206" s="132"/>
    </row>
    <row r="207" spans="5:8">
      <c r="E207" s="109"/>
      <c r="H207" s="132"/>
    </row>
    <row r="214" spans="5:8">
      <c r="E214" s="109"/>
      <c r="H214" s="132"/>
    </row>
    <row r="215" spans="5:8">
      <c r="E215" s="109"/>
      <c r="H215" s="132"/>
    </row>
    <row r="227" spans="5:8">
      <c r="E227" s="109"/>
      <c r="H227" s="132"/>
    </row>
    <row r="228" spans="5:8">
      <c r="E228" s="109"/>
      <c r="H228" s="132"/>
    </row>
    <row r="229" spans="5:8">
      <c r="E229" s="109"/>
      <c r="H229" s="132"/>
    </row>
    <row r="230" spans="5:8">
      <c r="E230" s="109"/>
      <c r="H230" s="132"/>
    </row>
    <row r="231" spans="5:8">
      <c r="E231" s="109"/>
      <c r="H231" s="132"/>
    </row>
    <row r="232" spans="5:8">
      <c r="E232" s="109"/>
      <c r="H232" s="132"/>
    </row>
    <row r="233" spans="5:8">
      <c r="E233" s="109"/>
      <c r="H233" s="132"/>
    </row>
    <row r="234" spans="5:8">
      <c r="E234" s="109"/>
      <c r="H234" s="132"/>
    </row>
    <row r="235" spans="5:8">
      <c r="E235" s="109"/>
      <c r="H235" s="132"/>
    </row>
    <row r="236" spans="5:8">
      <c r="E236" s="109"/>
      <c r="H236" s="132"/>
    </row>
    <row r="237" spans="5:8">
      <c r="E237" s="109"/>
      <c r="H237" s="132"/>
    </row>
    <row r="238" spans="5:8">
      <c r="E238" s="109"/>
      <c r="H238" s="132"/>
    </row>
    <row r="239" spans="5:8">
      <c r="E239" s="109"/>
      <c r="H239" s="132"/>
    </row>
    <row r="240" spans="5:8">
      <c r="E240" s="109"/>
      <c r="H240" s="132"/>
    </row>
    <row r="241" spans="5:8">
      <c r="E241" s="109"/>
      <c r="H241" s="132"/>
    </row>
    <row r="242" spans="5:8">
      <c r="E242" s="109"/>
      <c r="H242" s="132"/>
    </row>
    <row r="243" spans="5:8">
      <c r="E243" s="109"/>
      <c r="H243" s="132"/>
    </row>
    <row r="244" spans="5:8">
      <c r="E244" s="109"/>
      <c r="H244" s="132"/>
    </row>
    <row r="245" spans="5:8">
      <c r="E245" s="109"/>
      <c r="H245" s="132"/>
    </row>
    <row r="246" spans="5:8">
      <c r="E246" s="109"/>
      <c r="H246" s="132"/>
    </row>
    <row r="247" spans="5:8">
      <c r="E247" s="109"/>
      <c r="H247" s="132"/>
    </row>
    <row r="248" spans="5:8">
      <c r="E248" s="109"/>
      <c r="H248" s="132"/>
    </row>
    <row r="249" spans="5:8">
      <c r="E249" s="109"/>
      <c r="H249" s="132"/>
    </row>
    <row r="250" spans="5:8">
      <c r="E250" s="109"/>
      <c r="H250" s="132"/>
    </row>
    <row r="251" spans="5:8">
      <c r="E251" s="109"/>
      <c r="H251" s="132"/>
    </row>
    <row r="252" spans="5:8">
      <c r="E252" s="109"/>
      <c r="H252" s="132"/>
    </row>
    <row r="253" spans="5:8">
      <c r="E253" s="109"/>
      <c r="H253" s="132"/>
    </row>
    <row r="254" spans="5:8">
      <c r="E254" s="109"/>
      <c r="H254" s="132"/>
    </row>
    <row r="255" spans="5:8">
      <c r="E255" s="109"/>
      <c r="H255" s="132"/>
    </row>
    <row r="256" spans="5:8">
      <c r="E256" s="109"/>
      <c r="H256" s="132"/>
    </row>
    <row r="257" spans="5:8">
      <c r="E257" s="109"/>
      <c r="H257" s="132"/>
    </row>
    <row r="258" spans="5:8">
      <c r="E258" s="109"/>
      <c r="H258" s="132"/>
    </row>
    <row r="259" spans="5:8">
      <c r="E259" s="109"/>
      <c r="H259" s="132"/>
    </row>
    <row r="260" spans="5:8">
      <c r="E260" s="109"/>
      <c r="H260" s="132"/>
    </row>
    <row r="261" spans="5:8">
      <c r="E261" s="109"/>
      <c r="H261" s="132"/>
    </row>
    <row r="262" spans="5:8">
      <c r="E262" s="109"/>
      <c r="H262" s="132"/>
    </row>
    <row r="263" spans="5:8">
      <c r="E263" s="109"/>
      <c r="H263" s="132"/>
    </row>
    <row r="264" spans="5:8">
      <c r="E264" s="109"/>
      <c r="H264" s="132"/>
    </row>
    <row r="265" spans="5:8">
      <c r="E265" s="109"/>
      <c r="H265" s="132"/>
    </row>
    <row r="266" spans="5:8">
      <c r="E266" s="109"/>
      <c r="H266" s="132"/>
    </row>
    <row r="267" spans="5:8">
      <c r="E267" s="109"/>
      <c r="H267" s="132"/>
    </row>
    <row r="268" spans="5:8">
      <c r="E268" s="109"/>
      <c r="H268" s="132"/>
    </row>
    <row r="269" spans="5:8">
      <c r="E269" s="109"/>
      <c r="H269" s="132"/>
    </row>
    <row r="270" spans="5:8">
      <c r="E270" s="109"/>
      <c r="H270" s="132"/>
    </row>
    <row r="271" spans="5:8">
      <c r="E271" s="109"/>
      <c r="H271" s="132"/>
    </row>
    <row r="272" spans="5:8">
      <c r="E272" s="109"/>
      <c r="H272" s="132"/>
    </row>
    <row r="273" spans="5:8">
      <c r="E273" s="109"/>
      <c r="H273" s="132"/>
    </row>
    <row r="274" spans="5:8">
      <c r="E274" s="109"/>
      <c r="H274" s="132"/>
    </row>
    <row r="275" spans="5:8">
      <c r="E275" s="109"/>
      <c r="H275" s="132"/>
    </row>
    <row r="276" spans="5:8">
      <c r="E276" s="109"/>
      <c r="H276" s="132"/>
    </row>
    <row r="277" spans="5:8">
      <c r="E277" s="109"/>
      <c r="H277" s="132"/>
    </row>
    <row r="278" spans="5:8">
      <c r="E278" s="109"/>
      <c r="H278" s="132"/>
    </row>
    <row r="279" spans="5:8">
      <c r="E279" s="109"/>
      <c r="H279" s="132"/>
    </row>
    <row r="280" spans="5:8">
      <c r="E280" s="109"/>
      <c r="H280" s="132"/>
    </row>
    <row r="281" spans="5:8">
      <c r="E281" s="109"/>
      <c r="H281" s="132"/>
    </row>
    <row r="282" spans="5:8">
      <c r="E282" s="109"/>
      <c r="H282" s="132"/>
    </row>
    <row r="283" spans="5:8">
      <c r="E283" s="109"/>
      <c r="H283" s="132"/>
    </row>
    <row r="284" spans="5:8">
      <c r="E284" s="109"/>
      <c r="H284" s="132"/>
    </row>
    <row r="285" spans="5:8">
      <c r="E285" s="109"/>
      <c r="H285" s="132"/>
    </row>
    <row r="286" spans="5:8">
      <c r="E286" s="109"/>
      <c r="H286" s="132"/>
    </row>
    <row r="287" spans="5:8">
      <c r="E287" s="109"/>
      <c r="H287" s="132"/>
    </row>
  </sheetData>
  <mergeCells count="11">
    <mergeCell ref="R2:S2"/>
    <mergeCell ref="B1:D1"/>
    <mergeCell ref="B20:B21"/>
    <mergeCell ref="C20:C21"/>
    <mergeCell ref="U4:AV4"/>
    <mergeCell ref="B22:B26"/>
    <mergeCell ref="C22:C26"/>
    <mergeCell ref="B12:B16"/>
    <mergeCell ref="C12:C16"/>
    <mergeCell ref="B18:B19"/>
    <mergeCell ref="C18:C19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41" fitToHeight="2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ED38-49EE-4EEB-95C2-CF32DA77BEC3}">
  <sheetPr>
    <pageSetUpPr fitToPage="1"/>
  </sheetPr>
  <dimension ref="A1:T2990"/>
  <sheetViews>
    <sheetView showGridLines="0" zoomScale="40" zoomScaleNormal="40" workbookViewId="0">
      <pane ySplit="2" topLeftCell="A134" activePane="bottomLeft" state="frozen"/>
      <selection pane="bottomLeft" activeCell="S136" sqref="S136"/>
      <selection activeCell="C23" sqref="C23:C29"/>
    </sheetView>
  </sheetViews>
  <sheetFormatPr defaultColWidth="9.85546875" defaultRowHeight="35.450000000000003"/>
  <cols>
    <col min="1" max="1" width="9.85546875" style="137"/>
    <col min="2" max="2" width="10.5703125" style="137" bestFit="1" customWidth="1"/>
    <col min="3" max="3" width="83.7109375" style="137" customWidth="1"/>
    <col min="4" max="4" width="27.140625" style="137" bestFit="1" customWidth="1"/>
    <col min="5" max="5" width="8.7109375" style="137" bestFit="1" customWidth="1"/>
    <col min="6" max="6" width="13.5703125" style="137" bestFit="1" customWidth="1"/>
    <col min="7" max="7" width="15.85546875" style="137" bestFit="1" customWidth="1"/>
    <col min="8" max="8" width="11" style="137" bestFit="1" customWidth="1"/>
    <col min="9" max="9" width="8.7109375" style="137" bestFit="1" customWidth="1"/>
    <col min="10" max="10" width="11" style="137" bestFit="1" customWidth="1"/>
    <col min="11" max="11" width="13.5703125" style="137" bestFit="1" customWidth="1"/>
    <col min="12" max="12" width="11" style="137" bestFit="1" customWidth="1"/>
    <col min="13" max="13" width="10.85546875" style="137" bestFit="1" customWidth="1"/>
    <col min="14" max="14" width="11" style="137" bestFit="1" customWidth="1"/>
    <col min="15" max="15" width="17.85546875" style="137" bestFit="1" customWidth="1"/>
    <col min="16" max="16" width="8.7109375" style="137" bestFit="1" customWidth="1"/>
    <col min="17" max="17" width="21" style="179" customWidth="1"/>
    <col min="18" max="18" width="65.140625" style="137" customWidth="1"/>
    <col min="19" max="19" width="205.85546875" style="137" bestFit="1" customWidth="1"/>
    <col min="20" max="22" width="4.140625" style="137" bestFit="1" customWidth="1"/>
    <col min="23" max="29" width="9.85546875" style="137" bestFit="1" customWidth="1"/>
    <col min="30" max="16384" width="9.85546875" style="137"/>
  </cols>
  <sheetData>
    <row r="1" spans="2:20" s="269" customFormat="1" ht="40.5" customHeight="1">
      <c r="B1" s="366" t="s">
        <v>169</v>
      </c>
      <c r="C1" s="366"/>
      <c r="D1" s="366"/>
      <c r="E1" s="270"/>
      <c r="H1" s="270"/>
      <c r="Q1" s="274"/>
      <c r="R1" s="271" t="s">
        <v>170</v>
      </c>
      <c r="T1" s="271" t="s">
        <v>133</v>
      </c>
    </row>
    <row r="2" spans="2:20" ht="204.6" customHeight="1">
      <c r="B2" s="175" t="s">
        <v>171</v>
      </c>
      <c r="C2" s="57" t="s">
        <v>4</v>
      </c>
      <c r="D2" s="175" t="s">
        <v>85</v>
      </c>
      <c r="E2" s="177" t="s">
        <v>137</v>
      </c>
      <c r="F2" s="177" t="s">
        <v>138</v>
      </c>
      <c r="G2" s="177" t="s">
        <v>139</v>
      </c>
      <c r="H2" s="177" t="s">
        <v>140</v>
      </c>
      <c r="I2" s="177" t="s">
        <v>141</v>
      </c>
      <c r="J2" s="177" t="s">
        <v>142</v>
      </c>
      <c r="K2" s="177" t="s">
        <v>143</v>
      </c>
      <c r="L2" s="177" t="s">
        <v>144</v>
      </c>
      <c r="M2" s="177" t="s">
        <v>145</v>
      </c>
      <c r="N2" s="177" t="s">
        <v>172</v>
      </c>
      <c r="O2" s="177" t="s">
        <v>173</v>
      </c>
      <c r="P2" s="177" t="s">
        <v>174</v>
      </c>
      <c r="Q2" s="275" t="s">
        <v>23</v>
      </c>
      <c r="R2" s="56" t="s">
        <v>24</v>
      </c>
    </row>
    <row r="3" spans="2:20">
      <c r="B3" s="379">
        <v>1</v>
      </c>
      <c r="C3" s="369" t="s">
        <v>175</v>
      </c>
      <c r="D3" s="140" t="s">
        <v>176</v>
      </c>
      <c r="E3" s="138"/>
      <c r="F3" s="138">
        <v>490</v>
      </c>
      <c r="G3" s="138">
        <v>230</v>
      </c>
      <c r="H3" s="138"/>
      <c r="I3" s="138"/>
      <c r="J3" s="138"/>
      <c r="K3" s="138">
        <v>520</v>
      </c>
      <c r="L3" s="138">
        <v>380</v>
      </c>
      <c r="M3" s="138">
        <v>155</v>
      </c>
      <c r="N3" s="138">
        <v>260</v>
      </c>
      <c r="O3" s="141">
        <v>230</v>
      </c>
      <c r="P3" s="138"/>
      <c r="Q3" s="88">
        <v>230</v>
      </c>
      <c r="R3" s="19" t="str" cm="1">
        <f t="array" ref="R3">_xlfn._xlws.FILTER($E$2:$P$2, E3:P3=MIN(E3:P3))</f>
        <v>vendor9</v>
      </c>
      <c r="S3" s="137" t="s">
        <v>177</v>
      </c>
    </row>
    <row r="4" spans="2:20">
      <c r="B4" s="379"/>
      <c r="C4" s="369"/>
      <c r="D4" s="142" t="s">
        <v>178</v>
      </c>
      <c r="E4" s="138"/>
      <c r="F4" s="138">
        <v>480</v>
      </c>
      <c r="G4" s="138">
        <v>207</v>
      </c>
      <c r="H4" s="138"/>
      <c r="I4" s="138"/>
      <c r="J4" s="138"/>
      <c r="K4" s="138">
        <v>450</v>
      </c>
      <c r="L4" s="138">
        <v>350</v>
      </c>
      <c r="M4" s="138">
        <v>150</v>
      </c>
      <c r="N4" s="138">
        <v>250</v>
      </c>
      <c r="O4" s="141">
        <v>207</v>
      </c>
      <c r="P4" s="138"/>
      <c r="Q4" s="88">
        <v>207</v>
      </c>
      <c r="R4" s="19" t="str" cm="1">
        <f t="array" ref="R4">_xlfn._xlws.FILTER($E$2:$P$2, E4:P4=MIN(E4:P4))</f>
        <v>vendor9</v>
      </c>
      <c r="S4" s="137" t="s">
        <v>177</v>
      </c>
    </row>
    <row r="5" spans="2:20">
      <c r="B5" s="379">
        <v>2</v>
      </c>
      <c r="C5" s="369" t="s">
        <v>179</v>
      </c>
      <c r="D5" s="140" t="s">
        <v>176</v>
      </c>
      <c r="E5" s="138"/>
      <c r="F5" s="138">
        <v>520</v>
      </c>
      <c r="G5" s="138">
        <v>264.5</v>
      </c>
      <c r="H5" s="138"/>
      <c r="I5" s="138"/>
      <c r="J5" s="138"/>
      <c r="K5" s="138">
        <v>650</v>
      </c>
      <c r="L5" s="138">
        <v>480</v>
      </c>
      <c r="M5" s="138">
        <v>185</v>
      </c>
      <c r="N5" s="138">
        <v>300</v>
      </c>
      <c r="O5" s="141">
        <v>264.5</v>
      </c>
      <c r="P5" s="138"/>
      <c r="Q5" s="88">
        <v>264.5</v>
      </c>
      <c r="R5" s="19" t="str" cm="1">
        <f t="array" ref="R5">_xlfn._xlws.FILTER($E$2:$P$2, E5:P5=MIN(E5:P5))</f>
        <v>vendor9</v>
      </c>
      <c r="S5" s="137" t="s">
        <v>177</v>
      </c>
    </row>
    <row r="6" spans="2:20">
      <c r="B6" s="383"/>
      <c r="C6" s="369"/>
      <c r="D6" s="142" t="s">
        <v>178</v>
      </c>
      <c r="E6" s="138"/>
      <c r="F6" s="138">
        <v>510</v>
      </c>
      <c r="G6" s="138">
        <v>258.75</v>
      </c>
      <c r="H6" s="138"/>
      <c r="I6" s="138"/>
      <c r="J6" s="138"/>
      <c r="K6" s="138">
        <v>600</v>
      </c>
      <c r="L6" s="138">
        <v>450</v>
      </c>
      <c r="M6" s="138">
        <v>175</v>
      </c>
      <c r="N6" s="138">
        <v>290</v>
      </c>
      <c r="O6" s="141">
        <v>258.75</v>
      </c>
      <c r="P6" s="138"/>
      <c r="Q6" s="88">
        <v>258.75</v>
      </c>
      <c r="R6" s="19" t="str" cm="1">
        <f t="array" ref="R6">_xlfn._xlws.FILTER($E$2:$P$2, E6:P6=MIN(E6:P6))</f>
        <v>vendor9</v>
      </c>
      <c r="S6" s="137" t="s">
        <v>177</v>
      </c>
    </row>
    <row r="7" spans="2:20">
      <c r="B7" s="144">
        <v>3</v>
      </c>
      <c r="C7" s="372" t="s">
        <v>180</v>
      </c>
      <c r="D7" s="140" t="s">
        <v>176</v>
      </c>
      <c r="E7" s="138"/>
      <c r="F7" s="138">
        <v>590</v>
      </c>
      <c r="G7" s="138">
        <v>310.5</v>
      </c>
      <c r="H7" s="138"/>
      <c r="I7" s="138"/>
      <c r="J7" s="138"/>
      <c r="K7" s="138">
        <v>720</v>
      </c>
      <c r="L7" s="138">
        <v>540</v>
      </c>
      <c r="M7" s="138">
        <v>195</v>
      </c>
      <c r="N7" s="138">
        <v>350</v>
      </c>
      <c r="O7" s="141">
        <v>310</v>
      </c>
      <c r="P7" s="138"/>
      <c r="Q7" s="88">
        <v>310</v>
      </c>
      <c r="R7" s="19" t="str" cm="1">
        <f t="array" ref="R7">_xlfn._xlws.FILTER($E$2:$P$2, E7:P7=MIN(E7:P7))</f>
        <v>vendor9</v>
      </c>
      <c r="S7" s="137" t="s">
        <v>177</v>
      </c>
    </row>
    <row r="8" spans="2:20">
      <c r="B8" s="77"/>
      <c r="C8" s="372"/>
      <c r="D8" s="142" t="s">
        <v>178</v>
      </c>
      <c r="E8" s="138"/>
      <c r="F8" s="138">
        <v>580</v>
      </c>
      <c r="G8" s="145">
        <v>304.75</v>
      </c>
      <c r="H8" s="138"/>
      <c r="I8" s="138"/>
      <c r="J8" s="138">
        <v>465</v>
      </c>
      <c r="K8" s="138">
        <v>700</v>
      </c>
      <c r="L8" s="138">
        <v>500</v>
      </c>
      <c r="M8" s="138">
        <v>185</v>
      </c>
      <c r="N8" s="138">
        <v>340</v>
      </c>
      <c r="O8" s="138">
        <v>305</v>
      </c>
      <c r="P8" s="138"/>
      <c r="Q8" s="88">
        <v>304.75</v>
      </c>
      <c r="R8" s="19" t="str" cm="1">
        <f t="array" ref="R8">_xlfn._xlws.FILTER($E$2:$P$2, E8:P8=MIN(E8:P8))</f>
        <v>vendor9</v>
      </c>
      <c r="S8" s="137" t="s">
        <v>177</v>
      </c>
    </row>
    <row r="9" spans="2:20">
      <c r="B9" s="144">
        <v>4</v>
      </c>
      <c r="C9" s="372" t="s">
        <v>181</v>
      </c>
      <c r="D9" s="140" t="s">
        <v>176</v>
      </c>
      <c r="E9" s="138"/>
      <c r="F9" s="138">
        <v>760</v>
      </c>
      <c r="G9" s="138">
        <v>557.75</v>
      </c>
      <c r="H9" s="138"/>
      <c r="I9" s="138"/>
      <c r="J9" s="138"/>
      <c r="K9" s="138">
        <v>720</v>
      </c>
      <c r="L9" s="141">
        <v>540</v>
      </c>
      <c r="M9" s="138">
        <v>480</v>
      </c>
      <c r="N9" s="138">
        <v>650</v>
      </c>
      <c r="O9" s="138">
        <v>560</v>
      </c>
      <c r="P9" s="138"/>
      <c r="Q9" s="88">
        <v>540</v>
      </c>
      <c r="R9" s="19" t="str" cm="1">
        <f t="array" ref="R9">_xlfn._xlws.FILTER($E$2:$P$2, E9:P9=MIN(E9:P9))</f>
        <v>vendor9</v>
      </c>
      <c r="S9" s="137" t="s">
        <v>177</v>
      </c>
    </row>
    <row r="10" spans="2:20">
      <c r="B10" s="146"/>
      <c r="C10" s="372"/>
      <c r="D10" s="142" t="s">
        <v>178</v>
      </c>
      <c r="E10" s="138"/>
      <c r="F10" s="138">
        <v>750</v>
      </c>
      <c r="G10" s="138">
        <v>552</v>
      </c>
      <c r="H10" s="138"/>
      <c r="I10" s="138"/>
      <c r="J10" s="138">
        <v>1100</v>
      </c>
      <c r="K10" s="138">
        <v>700</v>
      </c>
      <c r="L10" s="141">
        <v>500</v>
      </c>
      <c r="M10" s="138">
        <v>460</v>
      </c>
      <c r="N10" s="138">
        <v>640</v>
      </c>
      <c r="O10" s="138">
        <v>560</v>
      </c>
      <c r="P10" s="138"/>
      <c r="Q10" s="88">
        <v>500</v>
      </c>
      <c r="R10" s="19" t="str" cm="1">
        <f t="array" ref="R10">_xlfn._xlws.FILTER($E$2:$P$2, E10:P10=MIN(E10:P10))</f>
        <v>vendor9</v>
      </c>
      <c r="S10" s="137" t="s">
        <v>177</v>
      </c>
    </row>
    <row r="11" spans="2:20">
      <c r="B11" s="384">
        <v>5</v>
      </c>
      <c r="C11" s="369" t="s">
        <v>182</v>
      </c>
      <c r="D11" s="140" t="s">
        <v>176</v>
      </c>
      <c r="E11" s="138"/>
      <c r="F11" s="138">
        <v>640</v>
      </c>
      <c r="G11" s="138">
        <v>442.75</v>
      </c>
      <c r="H11" s="138"/>
      <c r="I11" s="138"/>
      <c r="J11" s="138"/>
      <c r="K11" s="138">
        <v>1080</v>
      </c>
      <c r="L11" s="141">
        <v>400</v>
      </c>
      <c r="M11" s="138">
        <v>325</v>
      </c>
      <c r="N11" s="138">
        <v>530</v>
      </c>
      <c r="O11" s="138">
        <v>445</v>
      </c>
      <c r="P11" s="138"/>
      <c r="Q11" s="88">
        <v>400</v>
      </c>
      <c r="R11" s="19" t="str" cm="1">
        <f t="array" ref="R11">_xlfn._xlws.FILTER($E$2:$P$2, E11:P11=MIN(E11:P11))</f>
        <v>vendor9</v>
      </c>
      <c r="S11" s="137" t="s">
        <v>177</v>
      </c>
    </row>
    <row r="12" spans="2:20">
      <c r="B12" s="379"/>
      <c r="C12" s="369"/>
      <c r="D12" s="142" t="s">
        <v>178</v>
      </c>
      <c r="E12" s="138"/>
      <c r="F12" s="138">
        <v>630</v>
      </c>
      <c r="G12" s="138">
        <v>437</v>
      </c>
      <c r="H12" s="138"/>
      <c r="I12" s="138"/>
      <c r="J12" s="138">
        <v>770</v>
      </c>
      <c r="K12" s="138">
        <v>1000</v>
      </c>
      <c r="L12" s="141">
        <v>400</v>
      </c>
      <c r="M12" s="138">
        <v>315</v>
      </c>
      <c r="N12" s="138">
        <v>520</v>
      </c>
      <c r="O12" s="138">
        <v>440</v>
      </c>
      <c r="P12" s="138"/>
      <c r="Q12" s="88">
        <v>400</v>
      </c>
      <c r="R12" s="19" t="str" cm="1">
        <f t="array" ref="R12">_xlfn._xlws.FILTER($E$2:$P$2, E12:P12=MIN(E12:P12))</f>
        <v>vendor9</v>
      </c>
      <c r="S12" s="137" t="s">
        <v>177</v>
      </c>
    </row>
    <row r="13" spans="2:20">
      <c r="B13" s="379">
        <v>6</v>
      </c>
      <c r="C13" s="369" t="s">
        <v>183</v>
      </c>
      <c r="D13" s="140" t="s">
        <v>176</v>
      </c>
      <c r="E13" s="138"/>
      <c r="F13" s="138">
        <v>1220</v>
      </c>
      <c r="G13" s="138">
        <v>920</v>
      </c>
      <c r="H13" s="138"/>
      <c r="I13" s="138"/>
      <c r="J13" s="138"/>
      <c r="K13" s="138">
        <v>3200</v>
      </c>
      <c r="L13" s="138">
        <v>1800</v>
      </c>
      <c r="M13" s="138">
        <v>680</v>
      </c>
      <c r="N13" s="138">
        <v>1000</v>
      </c>
      <c r="O13" s="141">
        <v>920</v>
      </c>
      <c r="P13" s="138"/>
      <c r="Q13" s="88">
        <v>920</v>
      </c>
      <c r="R13" s="19" t="str" cm="1">
        <f t="array" ref="R13">_xlfn._xlws.FILTER($E$2:$P$2, E13:P13=MIN(E13:P13))</f>
        <v>vendor9</v>
      </c>
      <c r="S13" s="137" t="s">
        <v>177</v>
      </c>
    </row>
    <row r="14" spans="2:20">
      <c r="B14" s="383"/>
      <c r="C14" s="369"/>
      <c r="D14" s="142" t="s">
        <v>178</v>
      </c>
      <c r="E14" s="138"/>
      <c r="F14" s="138">
        <v>1200</v>
      </c>
      <c r="G14" s="141">
        <v>908.5</v>
      </c>
      <c r="H14" s="138"/>
      <c r="I14" s="138"/>
      <c r="J14" s="138"/>
      <c r="K14" s="138">
        <v>3000</v>
      </c>
      <c r="L14" s="138">
        <v>1800</v>
      </c>
      <c r="M14" s="138">
        <v>660</v>
      </c>
      <c r="N14" s="138">
        <v>980</v>
      </c>
      <c r="O14" s="138">
        <v>910</v>
      </c>
      <c r="P14" s="138"/>
      <c r="Q14" s="88">
        <v>908.5</v>
      </c>
      <c r="R14" s="19" t="str" cm="1">
        <f t="array" ref="R14">_xlfn._xlws.FILTER($E$2:$P$2, E14:P14=MIN(E14:P14))</f>
        <v>vendor9</v>
      </c>
      <c r="S14" s="137" t="s">
        <v>177</v>
      </c>
    </row>
    <row r="15" spans="2:20">
      <c r="B15" s="144">
        <v>7</v>
      </c>
      <c r="C15" s="372" t="s">
        <v>184</v>
      </c>
      <c r="D15" s="140" t="s">
        <v>176</v>
      </c>
      <c r="E15" s="138"/>
      <c r="F15" s="138">
        <v>980</v>
      </c>
      <c r="G15" s="138">
        <v>776.25</v>
      </c>
      <c r="H15" s="138"/>
      <c r="I15" s="138"/>
      <c r="J15" s="138"/>
      <c r="K15" s="138">
        <v>2700</v>
      </c>
      <c r="L15" s="138">
        <v>1540</v>
      </c>
      <c r="M15" s="138">
        <v>620</v>
      </c>
      <c r="N15" s="138">
        <v>870</v>
      </c>
      <c r="O15" s="141">
        <v>776.25</v>
      </c>
      <c r="P15" s="138"/>
      <c r="Q15" s="88">
        <v>776.25</v>
      </c>
      <c r="R15" s="19" t="str" cm="1">
        <f t="array" ref="R15">_xlfn._xlws.FILTER($E$2:$P$2, E15:P15=MIN(E15:P15))</f>
        <v>vendor9</v>
      </c>
      <c r="S15" s="137" t="s">
        <v>177</v>
      </c>
    </row>
    <row r="16" spans="2:20">
      <c r="B16" s="77"/>
      <c r="C16" s="372"/>
      <c r="D16" s="142" t="s">
        <v>178</v>
      </c>
      <c r="E16" s="138"/>
      <c r="F16" s="138">
        <v>970</v>
      </c>
      <c r="G16" s="141">
        <v>770.5</v>
      </c>
      <c r="H16" s="138"/>
      <c r="I16" s="138"/>
      <c r="J16" s="138"/>
      <c r="K16" s="138">
        <v>2500</v>
      </c>
      <c r="L16" s="138">
        <v>1540</v>
      </c>
      <c r="M16" s="138">
        <v>610</v>
      </c>
      <c r="N16" s="138">
        <v>850</v>
      </c>
      <c r="O16" s="138">
        <v>772</v>
      </c>
      <c r="P16" s="138"/>
      <c r="Q16" s="88">
        <v>770.5</v>
      </c>
      <c r="R16" s="19" t="str" cm="1">
        <f t="array" ref="R16">_xlfn._xlws.FILTER($E$2:$P$2, E16:P16=MIN(E16:P16))</f>
        <v>vendor9</v>
      </c>
      <c r="S16" s="137" t="s">
        <v>177</v>
      </c>
    </row>
    <row r="17" spans="2:19">
      <c r="B17" s="144">
        <v>8</v>
      </c>
      <c r="C17" s="372" t="s">
        <v>185</v>
      </c>
      <c r="D17" s="140" t="s">
        <v>176</v>
      </c>
      <c r="E17" s="138"/>
      <c r="F17" s="138">
        <v>980</v>
      </c>
      <c r="G17" s="141">
        <v>833.75</v>
      </c>
      <c r="H17" s="138"/>
      <c r="I17" s="138"/>
      <c r="J17" s="138"/>
      <c r="K17" s="138">
        <v>2700</v>
      </c>
      <c r="L17" s="138">
        <v>1620</v>
      </c>
      <c r="M17" s="138">
        <v>620</v>
      </c>
      <c r="N17" s="138">
        <v>870</v>
      </c>
      <c r="O17" s="138">
        <v>835</v>
      </c>
      <c r="P17" s="138"/>
      <c r="Q17" s="88">
        <v>833.75</v>
      </c>
      <c r="R17" s="19" t="str" cm="1">
        <f t="array" ref="R17">_xlfn._xlws.FILTER($E$2:$P$2, E17:P17=MIN(E17:P17))</f>
        <v>vendor9</v>
      </c>
      <c r="S17" s="137" t="s">
        <v>177</v>
      </c>
    </row>
    <row r="18" spans="2:19">
      <c r="B18" s="77"/>
      <c r="C18" s="372"/>
      <c r="D18" s="142" t="s">
        <v>178</v>
      </c>
      <c r="E18" s="138"/>
      <c r="F18" s="138">
        <v>970</v>
      </c>
      <c r="G18" s="141">
        <v>828</v>
      </c>
      <c r="H18" s="138"/>
      <c r="I18" s="138"/>
      <c r="J18" s="138"/>
      <c r="K18" s="138">
        <v>2500</v>
      </c>
      <c r="L18" s="138">
        <v>1620</v>
      </c>
      <c r="M18" s="138">
        <v>610</v>
      </c>
      <c r="N18" s="138">
        <v>850</v>
      </c>
      <c r="O18" s="138">
        <v>830</v>
      </c>
      <c r="P18" s="138"/>
      <c r="Q18" s="88">
        <v>828</v>
      </c>
      <c r="R18" s="19" t="str" cm="1">
        <f t="array" ref="R18">_xlfn._xlws.FILTER($E$2:$P$2, E18:P18=MIN(E18:P18))</f>
        <v>vendor9</v>
      </c>
      <c r="S18" s="137" t="s">
        <v>177</v>
      </c>
    </row>
    <row r="19" spans="2:19">
      <c r="B19" s="144">
        <v>9</v>
      </c>
      <c r="C19" s="372" t="s">
        <v>186</v>
      </c>
      <c r="D19" s="140" t="s">
        <v>176</v>
      </c>
      <c r="E19" s="138"/>
      <c r="F19" s="141">
        <v>340</v>
      </c>
      <c r="G19" s="138">
        <v>460</v>
      </c>
      <c r="H19" s="138"/>
      <c r="I19" s="138"/>
      <c r="J19" s="138"/>
      <c r="K19" s="138">
        <v>600</v>
      </c>
      <c r="L19" s="138">
        <v>450</v>
      </c>
      <c r="M19" s="138">
        <v>395</v>
      </c>
      <c r="N19" s="138">
        <v>550</v>
      </c>
      <c r="O19" s="138">
        <v>460</v>
      </c>
      <c r="P19" s="138"/>
      <c r="Q19" s="88">
        <v>340</v>
      </c>
      <c r="R19" s="19" t="str" cm="1">
        <f t="array" ref="R19">_xlfn._xlws.FILTER($E$2:$P$2, E19:P19=MIN(E19:P19))</f>
        <v>vendor2</v>
      </c>
      <c r="S19" s="137" t="s">
        <v>187</v>
      </c>
    </row>
    <row r="20" spans="2:19">
      <c r="B20" s="77"/>
      <c r="C20" s="372"/>
      <c r="D20" s="142" t="s">
        <v>178</v>
      </c>
      <c r="E20" s="138"/>
      <c r="F20" s="141">
        <v>330</v>
      </c>
      <c r="G20" s="138">
        <v>460</v>
      </c>
      <c r="H20" s="138"/>
      <c r="I20" s="138"/>
      <c r="J20" s="138"/>
      <c r="K20" s="138">
        <v>550</v>
      </c>
      <c r="L20" s="138">
        <v>450</v>
      </c>
      <c r="M20" s="138">
        <v>385</v>
      </c>
      <c r="N20" s="138">
        <v>500</v>
      </c>
      <c r="O20" s="138">
        <v>460</v>
      </c>
      <c r="P20" s="138"/>
      <c r="Q20" s="88">
        <v>330</v>
      </c>
      <c r="R20" s="19" t="str" cm="1">
        <f t="array" ref="R20">_xlfn._xlws.FILTER($E$2:$P$2, E20:P20=MIN(E20:P20))</f>
        <v>vendor2</v>
      </c>
      <c r="S20" s="137" t="s">
        <v>187</v>
      </c>
    </row>
    <row r="21" spans="2:19">
      <c r="B21" s="368">
        <v>10</v>
      </c>
      <c r="C21" s="376" t="s">
        <v>188</v>
      </c>
      <c r="D21" s="140" t="s">
        <v>189</v>
      </c>
      <c r="E21" s="138">
        <v>65</v>
      </c>
      <c r="F21" s="141">
        <v>39</v>
      </c>
      <c r="G21" s="138">
        <v>57.5</v>
      </c>
      <c r="H21" s="138">
        <v>360</v>
      </c>
      <c r="I21" s="138"/>
      <c r="J21" s="138"/>
      <c r="K21" s="138">
        <v>105</v>
      </c>
      <c r="L21" s="147">
        <v>70</v>
      </c>
      <c r="M21" s="147">
        <v>72.5</v>
      </c>
      <c r="N21" s="138">
        <v>65</v>
      </c>
      <c r="O21" s="138">
        <v>58</v>
      </c>
      <c r="P21" s="138">
        <v>55</v>
      </c>
      <c r="Q21" s="88">
        <f t="shared" ref="Q21:Q52" si="0">MIN(E21:P21)</f>
        <v>39</v>
      </c>
      <c r="R21" s="19" t="str" cm="1">
        <f t="array" ref="R21">_xlfn._xlws.FILTER($E$2:$P$2, E21:P21=MIN(E21:P21))</f>
        <v>vendor2</v>
      </c>
      <c r="S21" s="137" t="s">
        <v>187</v>
      </c>
    </row>
    <row r="22" spans="2:19">
      <c r="B22" s="373"/>
      <c r="C22" s="376"/>
      <c r="D22" s="140" t="s">
        <v>190</v>
      </c>
      <c r="E22" s="138">
        <v>64</v>
      </c>
      <c r="F22" s="141">
        <v>38</v>
      </c>
      <c r="G22" s="138">
        <v>55.2</v>
      </c>
      <c r="H22" s="138">
        <v>75</v>
      </c>
      <c r="I22" s="138"/>
      <c r="J22" s="138"/>
      <c r="K22" s="138">
        <v>100</v>
      </c>
      <c r="L22" s="138">
        <v>70</v>
      </c>
      <c r="M22" s="138">
        <v>69.5</v>
      </c>
      <c r="N22" s="138">
        <v>60</v>
      </c>
      <c r="O22" s="138">
        <v>57</v>
      </c>
      <c r="P22" s="138">
        <v>55</v>
      </c>
      <c r="Q22" s="88">
        <f t="shared" si="0"/>
        <v>38</v>
      </c>
      <c r="R22" s="19" t="str" cm="1">
        <f t="array" ref="R22">_xlfn._xlws.FILTER($E$2:$P$2, E22:P22=MIN(E22:P22))</f>
        <v>vendor2</v>
      </c>
      <c r="S22" s="137" t="s">
        <v>187</v>
      </c>
    </row>
    <row r="23" spans="2:19">
      <c r="B23" s="373"/>
      <c r="C23" s="376"/>
      <c r="D23" s="149" t="s">
        <v>191</v>
      </c>
      <c r="E23" s="138">
        <v>63</v>
      </c>
      <c r="F23" s="141">
        <v>37</v>
      </c>
      <c r="G23" s="138">
        <v>48.3</v>
      </c>
      <c r="H23" s="138">
        <v>70</v>
      </c>
      <c r="I23" s="138"/>
      <c r="J23" s="138"/>
      <c r="K23" s="138">
        <v>97</v>
      </c>
      <c r="L23" s="138">
        <v>70</v>
      </c>
      <c r="M23" s="138">
        <v>64.5</v>
      </c>
      <c r="N23" s="138">
        <v>57</v>
      </c>
      <c r="O23" s="138">
        <v>50</v>
      </c>
      <c r="P23" s="138">
        <v>55</v>
      </c>
      <c r="Q23" s="88">
        <f t="shared" si="0"/>
        <v>37</v>
      </c>
      <c r="R23" s="19" t="str" cm="1">
        <f t="array" ref="R23">_xlfn._xlws.FILTER($E$2:$P$2, E23:P23=MIN(E23:P23))</f>
        <v>vendor2</v>
      </c>
      <c r="S23" s="137" t="s">
        <v>187</v>
      </c>
    </row>
    <row r="24" spans="2:19">
      <c r="B24" s="148"/>
      <c r="C24" s="376"/>
      <c r="D24" s="149" t="s">
        <v>89</v>
      </c>
      <c r="E24" s="138">
        <v>62</v>
      </c>
      <c r="F24" s="141">
        <v>36</v>
      </c>
      <c r="G24" s="138">
        <v>44.85</v>
      </c>
      <c r="H24" s="138">
        <v>65</v>
      </c>
      <c r="I24" s="138"/>
      <c r="J24" s="138"/>
      <c r="K24" s="138">
        <v>96</v>
      </c>
      <c r="L24" s="138">
        <v>63</v>
      </c>
      <c r="M24" s="138">
        <v>64.5</v>
      </c>
      <c r="N24" s="138">
        <v>52</v>
      </c>
      <c r="O24" s="138">
        <v>46</v>
      </c>
      <c r="P24" s="138">
        <v>55</v>
      </c>
      <c r="Q24" s="88">
        <f t="shared" si="0"/>
        <v>36</v>
      </c>
      <c r="R24" s="19" t="str" cm="1">
        <f t="array" ref="R24">_xlfn._xlws.FILTER($E$2:$P$2, E24:P24=MIN(E24:P24))</f>
        <v>vendor2</v>
      </c>
      <c r="S24" s="137" t="s">
        <v>187</v>
      </c>
    </row>
    <row r="25" spans="2:19">
      <c r="B25" s="148"/>
      <c r="C25" s="376"/>
      <c r="D25" s="149" t="s">
        <v>192</v>
      </c>
      <c r="E25" s="138">
        <v>61</v>
      </c>
      <c r="F25" s="141">
        <v>35</v>
      </c>
      <c r="G25" s="138">
        <v>36.799999999999997</v>
      </c>
      <c r="H25" s="138">
        <v>60</v>
      </c>
      <c r="I25" s="138"/>
      <c r="J25" s="138"/>
      <c r="K25" s="138">
        <v>95</v>
      </c>
      <c r="L25" s="138">
        <v>52</v>
      </c>
      <c r="M25" s="138">
        <v>49</v>
      </c>
      <c r="N25" s="138">
        <v>46</v>
      </c>
      <c r="O25" s="138">
        <v>40</v>
      </c>
      <c r="P25" s="138">
        <v>55</v>
      </c>
      <c r="Q25" s="88">
        <f t="shared" si="0"/>
        <v>35</v>
      </c>
      <c r="R25" s="19" t="str" cm="1">
        <f t="array" ref="R25">_xlfn._xlws.FILTER($E$2:$P$2, E25:P25=MIN(E25:P25))</f>
        <v>vendor2</v>
      </c>
      <c r="S25" s="137" t="s">
        <v>187</v>
      </c>
    </row>
    <row r="26" spans="2:19">
      <c r="B26" s="148"/>
      <c r="C26" s="377"/>
      <c r="D26" s="149" t="s">
        <v>193</v>
      </c>
      <c r="E26" s="138">
        <v>60</v>
      </c>
      <c r="F26" s="141">
        <v>34</v>
      </c>
      <c r="G26" s="138">
        <v>34.5</v>
      </c>
      <c r="H26" s="138">
        <v>55</v>
      </c>
      <c r="I26" s="138"/>
      <c r="J26" s="138"/>
      <c r="K26" s="138">
        <v>94</v>
      </c>
      <c r="L26" s="138">
        <v>50</v>
      </c>
      <c r="M26" s="138">
        <v>44</v>
      </c>
      <c r="N26" s="138">
        <v>42</v>
      </c>
      <c r="O26" s="138">
        <v>35</v>
      </c>
      <c r="P26" s="138">
        <v>55</v>
      </c>
      <c r="Q26" s="88">
        <f t="shared" si="0"/>
        <v>34</v>
      </c>
      <c r="R26" s="19" t="str" cm="1">
        <f t="array" ref="R26">_xlfn._xlws.FILTER($E$2:$P$2, E26:P26=MIN(E26:P26))</f>
        <v>vendor2</v>
      </c>
      <c r="S26" s="137" t="s">
        <v>187</v>
      </c>
    </row>
    <row r="27" spans="2:19">
      <c r="B27" s="150">
        <v>11</v>
      </c>
      <c r="C27" s="380" t="s">
        <v>194</v>
      </c>
      <c r="D27" s="140" t="s">
        <v>189</v>
      </c>
      <c r="E27" s="138">
        <v>90</v>
      </c>
      <c r="F27" s="141">
        <v>52</v>
      </c>
      <c r="G27" s="138">
        <v>69</v>
      </c>
      <c r="H27" s="138">
        <v>360</v>
      </c>
      <c r="I27" s="138"/>
      <c r="J27" s="138"/>
      <c r="K27" s="138">
        <v>126</v>
      </c>
      <c r="L27" s="147">
        <v>105</v>
      </c>
      <c r="M27" s="147">
        <v>95</v>
      </c>
      <c r="N27" s="138"/>
      <c r="O27" s="138">
        <v>70</v>
      </c>
      <c r="P27" s="138">
        <v>80</v>
      </c>
      <c r="Q27" s="88">
        <f t="shared" si="0"/>
        <v>52</v>
      </c>
      <c r="R27" s="19" t="str" cm="1">
        <f t="array" ref="R27">_xlfn._xlws.FILTER($E$2:$P$2, E27:P27=MIN(E27:P27))</f>
        <v>vendor2</v>
      </c>
      <c r="S27" s="137" t="s">
        <v>187</v>
      </c>
    </row>
    <row r="28" spans="2:19">
      <c r="B28" s="152"/>
      <c r="C28" s="381"/>
      <c r="D28" s="140" t="s">
        <v>190</v>
      </c>
      <c r="E28" s="138">
        <v>89</v>
      </c>
      <c r="F28" s="141">
        <v>51</v>
      </c>
      <c r="G28" s="138">
        <v>59.8</v>
      </c>
      <c r="H28" s="138">
        <v>100</v>
      </c>
      <c r="I28" s="138"/>
      <c r="J28" s="138"/>
      <c r="K28" s="138">
        <v>120</v>
      </c>
      <c r="L28" s="138">
        <v>90</v>
      </c>
      <c r="M28" s="138">
        <v>89</v>
      </c>
      <c r="N28" s="138">
        <v>80</v>
      </c>
      <c r="O28" s="138">
        <v>65</v>
      </c>
      <c r="P28" s="138">
        <v>80</v>
      </c>
      <c r="Q28" s="88">
        <f t="shared" si="0"/>
        <v>51</v>
      </c>
      <c r="R28" s="19" t="str" cm="1">
        <f t="array" ref="R28">_xlfn._xlws.FILTER($E$2:$P$2, E28:P28=MIN(E28:P28))</f>
        <v>vendor2</v>
      </c>
      <c r="S28" s="137" t="s">
        <v>187</v>
      </c>
    </row>
    <row r="29" spans="2:19">
      <c r="B29" s="152"/>
      <c r="C29" s="381"/>
      <c r="D29" s="149" t="s">
        <v>191</v>
      </c>
      <c r="E29" s="138">
        <v>88</v>
      </c>
      <c r="F29" s="141">
        <v>50</v>
      </c>
      <c r="G29" s="138">
        <v>57.5</v>
      </c>
      <c r="H29" s="138">
        <v>95</v>
      </c>
      <c r="I29" s="138"/>
      <c r="J29" s="138"/>
      <c r="K29" s="138">
        <v>114</v>
      </c>
      <c r="L29" s="138">
        <v>80</v>
      </c>
      <c r="M29" s="138">
        <v>84</v>
      </c>
      <c r="N29" s="138">
        <v>70</v>
      </c>
      <c r="O29" s="138">
        <v>60</v>
      </c>
      <c r="P29" s="138">
        <v>80</v>
      </c>
      <c r="Q29" s="88">
        <f t="shared" si="0"/>
        <v>50</v>
      </c>
      <c r="R29" s="19" t="str" cm="1">
        <f t="array" ref="R29">_xlfn._xlws.FILTER($E$2:$P$2, E29:P29=MIN(E29:P29))</f>
        <v>vendor2</v>
      </c>
      <c r="S29" s="137" t="s">
        <v>187</v>
      </c>
    </row>
    <row r="30" spans="2:19">
      <c r="B30" s="152"/>
      <c r="C30" s="381"/>
      <c r="D30" s="149" t="s">
        <v>89</v>
      </c>
      <c r="E30" s="138">
        <v>80</v>
      </c>
      <c r="F30" s="141">
        <v>49</v>
      </c>
      <c r="G30" s="138">
        <v>57.5</v>
      </c>
      <c r="H30" s="138">
        <v>90</v>
      </c>
      <c r="I30" s="138"/>
      <c r="J30" s="138"/>
      <c r="K30" s="138">
        <v>108</v>
      </c>
      <c r="L30" s="138">
        <v>75</v>
      </c>
      <c r="M30" s="138">
        <v>84</v>
      </c>
      <c r="N30" s="138">
        <v>65</v>
      </c>
      <c r="O30" s="138">
        <v>56</v>
      </c>
      <c r="P30" s="138">
        <v>80</v>
      </c>
      <c r="Q30" s="88">
        <f t="shared" si="0"/>
        <v>49</v>
      </c>
      <c r="R30" s="19" t="str" cm="1">
        <f t="array" ref="R30">_xlfn._xlws.FILTER($E$2:$P$2, E30:P30=MIN(E30:P30))</f>
        <v>vendor2</v>
      </c>
      <c r="S30" s="137" t="s">
        <v>187</v>
      </c>
    </row>
    <row r="31" spans="2:19">
      <c r="B31" s="152"/>
      <c r="C31" s="381"/>
      <c r="D31" s="149" t="s">
        <v>192</v>
      </c>
      <c r="E31" s="138">
        <v>80</v>
      </c>
      <c r="F31" s="141">
        <v>48</v>
      </c>
      <c r="G31" s="138">
        <v>55.2</v>
      </c>
      <c r="H31" s="138">
        <v>75</v>
      </c>
      <c r="I31" s="138"/>
      <c r="J31" s="138"/>
      <c r="K31" s="138">
        <v>102</v>
      </c>
      <c r="L31" s="138">
        <v>70</v>
      </c>
      <c r="M31" s="138">
        <v>78</v>
      </c>
      <c r="N31" s="138">
        <v>60</v>
      </c>
      <c r="O31" s="138">
        <v>54</v>
      </c>
      <c r="P31" s="138">
        <v>80</v>
      </c>
      <c r="Q31" s="88">
        <f t="shared" si="0"/>
        <v>48</v>
      </c>
      <c r="R31" s="19" t="str" cm="1">
        <f t="array" ref="R31">_xlfn._xlws.FILTER($E$2:$P$2, E31:P31=MIN(E31:P31))</f>
        <v>vendor2</v>
      </c>
      <c r="S31" s="137" t="s">
        <v>187</v>
      </c>
    </row>
    <row r="32" spans="2:19">
      <c r="B32" s="152"/>
      <c r="C32" s="154"/>
      <c r="D32" s="149" t="s">
        <v>193</v>
      </c>
      <c r="E32" s="138">
        <v>75</v>
      </c>
      <c r="F32" s="141">
        <v>47</v>
      </c>
      <c r="G32" s="138">
        <v>51.75</v>
      </c>
      <c r="H32" s="138">
        <v>70</v>
      </c>
      <c r="I32" s="138"/>
      <c r="J32" s="138">
        <v>90</v>
      </c>
      <c r="K32" s="138">
        <v>97.5</v>
      </c>
      <c r="L32" s="138">
        <v>60</v>
      </c>
      <c r="M32" s="138">
        <v>64</v>
      </c>
      <c r="N32" s="138">
        <v>55</v>
      </c>
      <c r="O32" s="138">
        <v>52</v>
      </c>
      <c r="P32" s="138">
        <v>80</v>
      </c>
      <c r="Q32" s="88">
        <f t="shared" si="0"/>
        <v>47</v>
      </c>
      <c r="R32" s="19" t="str" cm="1">
        <f t="array" ref="R32">_xlfn._xlws.FILTER($E$2:$P$2, E32:P32=MIN(E32:P32))</f>
        <v>vendor2</v>
      </c>
      <c r="S32" s="137" t="s">
        <v>187</v>
      </c>
    </row>
    <row r="33" spans="2:19">
      <c r="B33" s="368">
        <v>12</v>
      </c>
      <c r="C33" s="382" t="s">
        <v>195</v>
      </c>
      <c r="D33" s="140" t="s">
        <v>189</v>
      </c>
      <c r="E33" s="138">
        <v>108</v>
      </c>
      <c r="F33" s="141">
        <v>63</v>
      </c>
      <c r="G33" s="138">
        <v>74.75</v>
      </c>
      <c r="H33" s="138">
        <v>360</v>
      </c>
      <c r="I33" s="138"/>
      <c r="J33" s="138"/>
      <c r="K33" s="138">
        <v>155</v>
      </c>
      <c r="L33" s="147">
        <v>120</v>
      </c>
      <c r="M33" s="147">
        <v>108</v>
      </c>
      <c r="N33" s="138">
        <v>90</v>
      </c>
      <c r="O33" s="138">
        <v>75</v>
      </c>
      <c r="P33" s="138">
        <v>95</v>
      </c>
      <c r="Q33" s="88">
        <f t="shared" si="0"/>
        <v>63</v>
      </c>
      <c r="R33" s="19" t="str" cm="1">
        <f t="array" ref="R33">_xlfn._xlws.FILTER($E$2:$P$2, E33:P33=MIN(E33:P33))</f>
        <v>vendor2</v>
      </c>
      <c r="S33" s="137" t="s">
        <v>187</v>
      </c>
    </row>
    <row r="34" spans="2:19">
      <c r="B34" s="373"/>
      <c r="C34" s="376"/>
      <c r="D34" s="140" t="s">
        <v>190</v>
      </c>
      <c r="E34" s="138">
        <v>107</v>
      </c>
      <c r="F34" s="141">
        <v>62</v>
      </c>
      <c r="G34" s="138">
        <v>71.3</v>
      </c>
      <c r="H34" s="138">
        <v>120</v>
      </c>
      <c r="I34" s="138"/>
      <c r="J34" s="138"/>
      <c r="K34" s="138">
        <v>145</v>
      </c>
      <c r="L34" s="138">
        <v>110</v>
      </c>
      <c r="M34" s="138">
        <v>101</v>
      </c>
      <c r="N34" s="138">
        <v>83</v>
      </c>
      <c r="O34" s="138">
        <v>72</v>
      </c>
      <c r="P34" s="138">
        <v>95</v>
      </c>
      <c r="Q34" s="88">
        <f t="shared" si="0"/>
        <v>62</v>
      </c>
      <c r="R34" s="19" t="str" cm="1">
        <f t="array" ref="R34">_xlfn._xlws.FILTER($E$2:$P$2, E34:P34=MIN(E34:P34))</f>
        <v>vendor2</v>
      </c>
      <c r="S34" s="137" t="s">
        <v>187</v>
      </c>
    </row>
    <row r="35" spans="2:19">
      <c r="B35" s="373"/>
      <c r="C35" s="376"/>
      <c r="D35" s="149" t="s">
        <v>191</v>
      </c>
      <c r="E35" s="138">
        <v>100</v>
      </c>
      <c r="F35" s="141">
        <v>61</v>
      </c>
      <c r="G35" s="138">
        <v>71.3</v>
      </c>
      <c r="H35" s="138">
        <v>100</v>
      </c>
      <c r="I35" s="138"/>
      <c r="J35" s="138"/>
      <c r="K35" s="138">
        <v>137</v>
      </c>
      <c r="L35" s="138">
        <v>100</v>
      </c>
      <c r="M35" s="138">
        <v>93</v>
      </c>
      <c r="N35" s="138">
        <v>80</v>
      </c>
      <c r="O35" s="138">
        <v>72</v>
      </c>
      <c r="P35" s="138">
        <v>95</v>
      </c>
      <c r="Q35" s="88">
        <f t="shared" si="0"/>
        <v>61</v>
      </c>
      <c r="R35" s="19" t="str" cm="1">
        <f t="array" ref="R35">_xlfn._xlws.FILTER($E$2:$P$2, E35:P35=MIN(E35:P35))</f>
        <v>vendor2</v>
      </c>
      <c r="S35" s="137" t="s">
        <v>187</v>
      </c>
    </row>
    <row r="36" spans="2:19">
      <c r="B36" s="148"/>
      <c r="C36" s="376"/>
      <c r="D36" s="149" t="s">
        <v>89</v>
      </c>
      <c r="E36" s="138">
        <v>97</v>
      </c>
      <c r="F36" s="141">
        <v>60</v>
      </c>
      <c r="G36" s="138">
        <v>69</v>
      </c>
      <c r="H36" s="138">
        <v>90</v>
      </c>
      <c r="I36" s="138"/>
      <c r="J36" s="138"/>
      <c r="K36" s="138">
        <v>130</v>
      </c>
      <c r="L36" s="138">
        <v>90</v>
      </c>
      <c r="M36" s="138">
        <v>93</v>
      </c>
      <c r="N36" s="138">
        <v>77</v>
      </c>
      <c r="O36" s="138">
        <v>70</v>
      </c>
      <c r="P36" s="138">
        <v>95</v>
      </c>
      <c r="Q36" s="88">
        <f t="shared" si="0"/>
        <v>60</v>
      </c>
      <c r="R36" s="19" t="str" cm="1">
        <f t="array" ref="R36">_xlfn._xlws.FILTER($E$2:$P$2, E36:P36=MIN(E36:P36))</f>
        <v>vendor2</v>
      </c>
      <c r="S36" s="137" t="s">
        <v>187</v>
      </c>
    </row>
    <row r="37" spans="2:19">
      <c r="B37" s="148"/>
      <c r="C37" s="376"/>
      <c r="D37" s="149" t="s">
        <v>192</v>
      </c>
      <c r="E37" s="138">
        <v>93</v>
      </c>
      <c r="F37" s="141">
        <v>59</v>
      </c>
      <c r="G37" s="138">
        <v>66.7</v>
      </c>
      <c r="H37" s="138">
        <v>80</v>
      </c>
      <c r="I37" s="138"/>
      <c r="J37" s="138"/>
      <c r="K37" s="138">
        <v>122.5</v>
      </c>
      <c r="L37" s="138">
        <v>80</v>
      </c>
      <c r="M37" s="138">
        <v>76</v>
      </c>
      <c r="N37" s="138">
        <v>68</v>
      </c>
      <c r="O37" s="138">
        <v>70</v>
      </c>
      <c r="P37" s="138">
        <v>95</v>
      </c>
      <c r="Q37" s="88">
        <f t="shared" si="0"/>
        <v>59</v>
      </c>
      <c r="R37" s="19" t="str" cm="1">
        <f t="array" ref="R37">_xlfn._xlws.FILTER($E$2:$P$2, E37:P37=MIN(E37:P37))</f>
        <v>vendor2</v>
      </c>
      <c r="S37" s="137" t="s">
        <v>187</v>
      </c>
    </row>
    <row r="38" spans="2:19">
      <c r="B38" s="148"/>
      <c r="C38" s="376"/>
      <c r="D38" s="149" t="s">
        <v>193</v>
      </c>
      <c r="E38" s="138">
        <v>90</v>
      </c>
      <c r="F38" s="141">
        <v>58</v>
      </c>
      <c r="G38" s="138">
        <v>62.1</v>
      </c>
      <c r="H38" s="138">
        <v>75</v>
      </c>
      <c r="I38" s="138"/>
      <c r="J38" s="138">
        <v>110</v>
      </c>
      <c r="K38" s="138">
        <v>117</v>
      </c>
      <c r="L38" s="138">
        <v>70</v>
      </c>
      <c r="M38" s="138">
        <v>68</v>
      </c>
      <c r="N38" s="138">
        <v>64</v>
      </c>
      <c r="O38" s="138">
        <v>69</v>
      </c>
      <c r="P38" s="138">
        <v>95</v>
      </c>
      <c r="Q38" s="88">
        <f t="shared" si="0"/>
        <v>58</v>
      </c>
      <c r="R38" s="19" t="str" cm="1">
        <f t="array" ref="R38">_xlfn._xlws.FILTER($E$2:$P$2, E38:P38=MIN(E38:P38))</f>
        <v>vendor2</v>
      </c>
      <c r="S38" s="137" t="s">
        <v>187</v>
      </c>
    </row>
    <row r="39" spans="2:19">
      <c r="B39" s="368">
        <v>13</v>
      </c>
      <c r="C39" s="376" t="s">
        <v>196</v>
      </c>
      <c r="D39" s="140" t="s">
        <v>189</v>
      </c>
      <c r="E39" s="138">
        <v>120</v>
      </c>
      <c r="F39" s="141">
        <v>70</v>
      </c>
      <c r="G39" s="138">
        <v>74.75</v>
      </c>
      <c r="H39" s="138">
        <v>360</v>
      </c>
      <c r="I39" s="138"/>
      <c r="J39" s="138"/>
      <c r="K39" s="138">
        <v>170</v>
      </c>
      <c r="L39" s="147">
        <v>140</v>
      </c>
      <c r="M39" s="147">
        <v>118</v>
      </c>
      <c r="N39" s="138">
        <v>85</v>
      </c>
      <c r="O39" s="138">
        <v>75</v>
      </c>
      <c r="P39" s="138">
        <v>100</v>
      </c>
      <c r="Q39" s="88">
        <f t="shared" si="0"/>
        <v>70</v>
      </c>
      <c r="R39" s="19" t="str" cm="1">
        <f t="array" ref="R39">_xlfn._xlws.FILTER($E$2:$P$2, E39:P39=MIN(E39:P39))</f>
        <v>vendor2</v>
      </c>
      <c r="S39" s="137" t="s">
        <v>187</v>
      </c>
    </row>
    <row r="40" spans="2:19">
      <c r="B40" s="373"/>
      <c r="C40" s="376"/>
      <c r="D40" s="140" t="s">
        <v>190</v>
      </c>
      <c r="E40" s="138">
        <v>118</v>
      </c>
      <c r="F40" s="141">
        <v>69</v>
      </c>
      <c r="G40" s="138">
        <v>74.75</v>
      </c>
      <c r="H40" s="138">
        <v>145</v>
      </c>
      <c r="I40" s="138"/>
      <c r="J40" s="138"/>
      <c r="K40" s="138">
        <v>160</v>
      </c>
      <c r="L40" s="138">
        <v>120</v>
      </c>
      <c r="M40" s="138">
        <v>111</v>
      </c>
      <c r="N40" s="138">
        <v>82</v>
      </c>
      <c r="O40" s="138">
        <v>74</v>
      </c>
      <c r="P40" s="138">
        <v>100</v>
      </c>
      <c r="Q40" s="88">
        <f t="shared" si="0"/>
        <v>69</v>
      </c>
      <c r="R40" s="19" t="str" cm="1">
        <f t="array" ref="R40">_xlfn._xlws.FILTER($E$2:$P$2, E40:P40=MIN(E40:P40))</f>
        <v>vendor2</v>
      </c>
      <c r="S40" s="137" t="s">
        <v>187</v>
      </c>
    </row>
    <row r="41" spans="2:19">
      <c r="B41" s="373"/>
      <c r="C41" s="376"/>
      <c r="D41" s="149" t="s">
        <v>191</v>
      </c>
      <c r="E41" s="138">
        <v>115</v>
      </c>
      <c r="F41" s="141">
        <v>68</v>
      </c>
      <c r="G41" s="138">
        <v>73.599999999999994</v>
      </c>
      <c r="H41" s="138">
        <v>140</v>
      </c>
      <c r="I41" s="138"/>
      <c r="J41" s="138"/>
      <c r="K41" s="138">
        <v>152</v>
      </c>
      <c r="L41" s="138">
        <v>100</v>
      </c>
      <c r="M41" s="138">
        <v>103</v>
      </c>
      <c r="N41" s="138">
        <v>79</v>
      </c>
      <c r="O41" s="138">
        <v>74</v>
      </c>
      <c r="P41" s="138">
        <v>100</v>
      </c>
      <c r="Q41" s="88">
        <f t="shared" si="0"/>
        <v>68</v>
      </c>
      <c r="R41" s="19" t="str" cm="1">
        <f t="array" ref="R41">_xlfn._xlws.FILTER($E$2:$P$2, E41:P41=MIN(E41:P41))</f>
        <v>vendor2</v>
      </c>
      <c r="S41" s="137" t="s">
        <v>187</v>
      </c>
    </row>
    <row r="42" spans="2:19">
      <c r="B42" s="148"/>
      <c r="C42" s="376"/>
      <c r="D42" s="149" t="s">
        <v>89</v>
      </c>
      <c r="E42" s="138">
        <v>108</v>
      </c>
      <c r="F42" s="141">
        <v>67</v>
      </c>
      <c r="G42" s="138">
        <v>71.3</v>
      </c>
      <c r="H42" s="138">
        <v>135</v>
      </c>
      <c r="I42" s="138"/>
      <c r="J42" s="138"/>
      <c r="K42" s="138">
        <v>144</v>
      </c>
      <c r="L42" s="138">
        <v>80</v>
      </c>
      <c r="M42" s="138">
        <v>103</v>
      </c>
      <c r="N42" s="138">
        <v>74</v>
      </c>
      <c r="O42" s="138">
        <v>74</v>
      </c>
      <c r="P42" s="138">
        <v>100</v>
      </c>
      <c r="Q42" s="88">
        <f t="shared" si="0"/>
        <v>67</v>
      </c>
      <c r="R42" s="19" t="str" cm="1">
        <f t="array" ref="R42">_xlfn._xlws.FILTER($E$2:$P$2, E42:P42=MIN(E42:P42))</f>
        <v>vendor2</v>
      </c>
      <c r="S42" s="137" t="s">
        <v>187</v>
      </c>
    </row>
    <row r="43" spans="2:19">
      <c r="B43" s="148"/>
      <c r="C43" s="376"/>
      <c r="D43" s="149" t="s">
        <v>192</v>
      </c>
      <c r="E43" s="138">
        <v>104</v>
      </c>
      <c r="F43" s="141">
        <v>66</v>
      </c>
      <c r="G43" s="138">
        <v>71.3</v>
      </c>
      <c r="H43" s="138">
        <v>125</v>
      </c>
      <c r="I43" s="138"/>
      <c r="J43" s="138"/>
      <c r="K43" s="138">
        <v>136</v>
      </c>
      <c r="L43" s="138">
        <v>80</v>
      </c>
      <c r="M43" s="138">
        <v>84</v>
      </c>
      <c r="N43" s="138">
        <v>70</v>
      </c>
      <c r="O43" s="138">
        <v>72</v>
      </c>
      <c r="P43" s="138">
        <v>100</v>
      </c>
      <c r="Q43" s="88">
        <f t="shared" si="0"/>
        <v>66</v>
      </c>
      <c r="R43" s="19" t="str" cm="1">
        <f t="array" ref="R43">_xlfn._xlws.FILTER($E$2:$P$2, E43:P43=MIN(E43:P43))</f>
        <v>vendor2</v>
      </c>
      <c r="S43" s="137" t="s">
        <v>187</v>
      </c>
    </row>
    <row r="44" spans="2:19">
      <c r="B44" s="148"/>
      <c r="C44" s="377"/>
      <c r="D44" s="149" t="s">
        <v>193</v>
      </c>
      <c r="E44" s="138">
        <v>100</v>
      </c>
      <c r="F44" s="141">
        <v>65</v>
      </c>
      <c r="G44" s="138">
        <v>69</v>
      </c>
      <c r="H44" s="138">
        <v>100</v>
      </c>
      <c r="I44" s="138"/>
      <c r="J44" s="138"/>
      <c r="K44" s="138">
        <v>130</v>
      </c>
      <c r="L44" s="138">
        <v>80</v>
      </c>
      <c r="M44" s="138">
        <v>77</v>
      </c>
      <c r="N44" s="138">
        <v>68</v>
      </c>
      <c r="O44" s="138">
        <v>72</v>
      </c>
      <c r="P44" s="138">
        <v>100</v>
      </c>
      <c r="Q44" s="88">
        <f t="shared" si="0"/>
        <v>65</v>
      </c>
      <c r="R44" s="19" t="str" cm="1">
        <f t="array" ref="R44">_xlfn._xlws.FILTER($E$2:$P$2, E44:P44=MIN(E44:P44))</f>
        <v>vendor2</v>
      </c>
      <c r="S44" s="137" t="s">
        <v>187</v>
      </c>
    </row>
    <row r="45" spans="2:19">
      <c r="B45" s="150">
        <v>14</v>
      </c>
      <c r="C45" s="380" t="s">
        <v>197</v>
      </c>
      <c r="D45" s="140" t="s">
        <v>189</v>
      </c>
      <c r="E45" s="138">
        <v>145</v>
      </c>
      <c r="F45" s="141">
        <v>85</v>
      </c>
      <c r="G45" s="138">
        <v>92</v>
      </c>
      <c r="H45" s="138">
        <v>360</v>
      </c>
      <c r="I45" s="138"/>
      <c r="J45" s="138"/>
      <c r="K45" s="138">
        <v>205</v>
      </c>
      <c r="L45" s="147">
        <v>170</v>
      </c>
      <c r="M45" s="147">
        <v>118</v>
      </c>
      <c r="N45" s="138">
        <v>105</v>
      </c>
      <c r="O45" s="138">
        <v>95</v>
      </c>
      <c r="P45" s="138">
        <v>125</v>
      </c>
      <c r="Q45" s="88">
        <f t="shared" si="0"/>
        <v>85</v>
      </c>
      <c r="R45" s="19" t="str" cm="1">
        <f t="array" ref="R45">_xlfn._xlws.FILTER($E$2:$P$2, E45:P45=MIN(E45:P45))</f>
        <v>vendor2</v>
      </c>
      <c r="S45" s="137" t="s">
        <v>187</v>
      </c>
    </row>
    <row r="46" spans="2:19">
      <c r="B46" s="152"/>
      <c r="C46" s="381"/>
      <c r="D46" s="140" t="s">
        <v>190</v>
      </c>
      <c r="E46" s="138">
        <v>140</v>
      </c>
      <c r="F46" s="141">
        <v>84</v>
      </c>
      <c r="G46" s="138">
        <v>89.7</v>
      </c>
      <c r="H46" s="138">
        <v>175</v>
      </c>
      <c r="I46" s="138"/>
      <c r="J46" s="138"/>
      <c r="K46" s="138">
        <v>192</v>
      </c>
      <c r="L46" s="138">
        <v>160</v>
      </c>
      <c r="M46" s="138">
        <v>111</v>
      </c>
      <c r="N46" s="138">
        <v>99</v>
      </c>
      <c r="O46" s="138">
        <v>95</v>
      </c>
      <c r="P46" s="138">
        <v>125</v>
      </c>
      <c r="Q46" s="88">
        <f t="shared" si="0"/>
        <v>84</v>
      </c>
      <c r="R46" s="19" t="str" cm="1">
        <f t="array" ref="R46">_xlfn._xlws.FILTER($E$2:$P$2, E46:P46=MIN(E46:P46))</f>
        <v>vendor2</v>
      </c>
      <c r="S46" s="137" t="s">
        <v>187</v>
      </c>
    </row>
    <row r="47" spans="2:19">
      <c r="B47" s="152"/>
      <c r="C47" s="381"/>
      <c r="D47" s="149" t="s">
        <v>191</v>
      </c>
      <c r="E47" s="138">
        <v>135</v>
      </c>
      <c r="F47" s="141">
        <v>83</v>
      </c>
      <c r="G47" s="138">
        <v>86.25</v>
      </c>
      <c r="H47" s="138">
        <v>170</v>
      </c>
      <c r="I47" s="138"/>
      <c r="J47" s="138"/>
      <c r="K47" s="138">
        <v>183</v>
      </c>
      <c r="L47" s="138">
        <v>150</v>
      </c>
      <c r="M47" s="138">
        <v>103</v>
      </c>
      <c r="N47" s="138">
        <v>95</v>
      </c>
      <c r="O47" s="138">
        <v>87</v>
      </c>
      <c r="P47" s="138">
        <v>125</v>
      </c>
      <c r="Q47" s="88">
        <f t="shared" si="0"/>
        <v>83</v>
      </c>
      <c r="R47" s="19" t="str" cm="1">
        <f t="array" ref="R47">_xlfn._xlws.FILTER($E$2:$P$2, E47:P47=MIN(E47:P47))</f>
        <v>vendor2</v>
      </c>
      <c r="S47" s="137" t="s">
        <v>187</v>
      </c>
    </row>
    <row r="48" spans="2:19">
      <c r="B48" s="152"/>
      <c r="C48" s="381"/>
      <c r="D48" s="149" t="s">
        <v>89</v>
      </c>
      <c r="E48" s="138">
        <v>130</v>
      </c>
      <c r="F48" s="141">
        <v>82</v>
      </c>
      <c r="G48" s="138">
        <v>86.25</v>
      </c>
      <c r="H48" s="138">
        <v>165</v>
      </c>
      <c r="I48" s="138"/>
      <c r="J48" s="138"/>
      <c r="K48" s="138">
        <v>173</v>
      </c>
      <c r="L48" s="138">
        <v>120</v>
      </c>
      <c r="M48" s="138">
        <v>103</v>
      </c>
      <c r="N48" s="138">
        <v>90</v>
      </c>
      <c r="O48" s="138">
        <v>87</v>
      </c>
      <c r="P48" s="138">
        <v>125</v>
      </c>
      <c r="Q48" s="88">
        <f t="shared" si="0"/>
        <v>82</v>
      </c>
      <c r="R48" s="19" t="str" cm="1">
        <f t="array" ref="R48">_xlfn._xlws.FILTER($E$2:$P$2, E48:P48=MIN(E48:P48))</f>
        <v>vendor2</v>
      </c>
      <c r="S48" s="137" t="s">
        <v>187</v>
      </c>
    </row>
    <row r="49" spans="2:19">
      <c r="B49" s="152"/>
      <c r="C49" s="381"/>
      <c r="D49" s="149" t="s">
        <v>192</v>
      </c>
      <c r="E49" s="138">
        <v>125</v>
      </c>
      <c r="F49" s="141">
        <v>81</v>
      </c>
      <c r="G49" s="138">
        <v>82.8</v>
      </c>
      <c r="H49" s="138">
        <v>155</v>
      </c>
      <c r="I49" s="138"/>
      <c r="J49" s="138"/>
      <c r="K49" s="138">
        <v>164</v>
      </c>
      <c r="L49" s="138">
        <v>120</v>
      </c>
      <c r="M49" s="138">
        <v>84</v>
      </c>
      <c r="N49" s="138">
        <v>85</v>
      </c>
      <c r="O49" s="138">
        <v>84</v>
      </c>
      <c r="P49" s="138">
        <v>125</v>
      </c>
      <c r="Q49" s="88">
        <f t="shared" si="0"/>
        <v>81</v>
      </c>
      <c r="R49" s="19" t="str" cm="1">
        <f t="array" ref="R49">_xlfn._xlws.FILTER($E$2:$P$2, E49:P49=MIN(E49:P49))</f>
        <v>vendor2</v>
      </c>
      <c r="S49" s="137" t="s">
        <v>187</v>
      </c>
    </row>
    <row r="50" spans="2:19">
      <c r="B50" s="152"/>
      <c r="C50" s="154"/>
      <c r="D50" s="149" t="s">
        <v>193</v>
      </c>
      <c r="E50" s="138">
        <v>120</v>
      </c>
      <c r="F50" s="141">
        <v>80</v>
      </c>
      <c r="G50" s="138">
        <v>82.8</v>
      </c>
      <c r="H50" s="138">
        <v>130</v>
      </c>
      <c r="I50" s="138"/>
      <c r="J50" s="138"/>
      <c r="K50" s="138">
        <v>156</v>
      </c>
      <c r="L50" s="138">
        <v>100</v>
      </c>
      <c r="M50" s="138">
        <v>77</v>
      </c>
      <c r="N50" s="138">
        <v>82</v>
      </c>
      <c r="O50" s="138">
        <v>84</v>
      </c>
      <c r="P50" s="138">
        <v>125</v>
      </c>
      <c r="Q50" s="88">
        <f t="shared" si="0"/>
        <v>77</v>
      </c>
      <c r="R50" s="19" t="str" cm="1">
        <f t="array" ref="R50">_xlfn._xlws.FILTER($E$2:$P$2, E50:P50=MIN(E50:P50))</f>
        <v>vendor9</v>
      </c>
      <c r="S50" s="137" t="s">
        <v>187</v>
      </c>
    </row>
    <row r="51" spans="2:19">
      <c r="B51" s="368">
        <v>15</v>
      </c>
      <c r="C51" s="382" t="s">
        <v>198</v>
      </c>
      <c r="D51" s="140" t="s">
        <v>189</v>
      </c>
      <c r="E51" s="138">
        <v>150</v>
      </c>
      <c r="F51" s="141">
        <v>87</v>
      </c>
      <c r="G51" s="138">
        <v>97.75</v>
      </c>
      <c r="H51" s="138">
        <v>360</v>
      </c>
      <c r="I51" s="138"/>
      <c r="J51" s="138"/>
      <c r="K51" s="138">
        <v>250</v>
      </c>
      <c r="L51" s="147">
        <v>175</v>
      </c>
      <c r="M51" s="147">
        <v>143</v>
      </c>
      <c r="N51" s="138">
        <v>115</v>
      </c>
      <c r="O51" s="138">
        <v>98</v>
      </c>
      <c r="P51" s="138">
        <v>130</v>
      </c>
      <c r="Q51" s="88">
        <f t="shared" si="0"/>
        <v>87</v>
      </c>
      <c r="R51" s="19" t="str" cm="1">
        <f t="array" ref="R51">_xlfn._xlws.FILTER($E$2:$P$2, E51:P51=MIN(E51:P51))</f>
        <v>vendor2</v>
      </c>
      <c r="S51" s="137" t="s">
        <v>187</v>
      </c>
    </row>
    <row r="52" spans="2:19">
      <c r="B52" s="373"/>
      <c r="C52" s="376"/>
      <c r="D52" s="140" t="s">
        <v>190</v>
      </c>
      <c r="E52" s="138">
        <v>145</v>
      </c>
      <c r="F52" s="141">
        <v>86</v>
      </c>
      <c r="G52" s="138">
        <v>94.3</v>
      </c>
      <c r="H52" s="138">
        <v>180</v>
      </c>
      <c r="I52" s="138"/>
      <c r="J52" s="138"/>
      <c r="K52" s="138">
        <v>200</v>
      </c>
      <c r="L52" s="138">
        <v>175</v>
      </c>
      <c r="M52" s="138">
        <v>151</v>
      </c>
      <c r="N52" s="138">
        <v>110</v>
      </c>
      <c r="O52" s="138">
        <v>98</v>
      </c>
      <c r="P52" s="138">
        <v>130</v>
      </c>
      <c r="Q52" s="88">
        <f t="shared" si="0"/>
        <v>86</v>
      </c>
      <c r="R52" s="19" t="str" cm="1">
        <f t="array" ref="R52">_xlfn._xlws.FILTER($E$2:$P$2, E52:P52=MIN(E52:P52))</f>
        <v>vendor2</v>
      </c>
      <c r="S52" s="137" t="s">
        <v>187</v>
      </c>
    </row>
    <row r="53" spans="2:19">
      <c r="B53" s="373"/>
      <c r="C53" s="376"/>
      <c r="D53" s="149" t="s">
        <v>191</v>
      </c>
      <c r="E53" s="138">
        <v>140</v>
      </c>
      <c r="F53" s="141">
        <v>85</v>
      </c>
      <c r="G53" s="138">
        <v>92</v>
      </c>
      <c r="H53" s="138">
        <v>125</v>
      </c>
      <c r="I53" s="138"/>
      <c r="J53" s="138"/>
      <c r="K53" s="138">
        <v>190</v>
      </c>
      <c r="L53" s="138">
        <v>170</v>
      </c>
      <c r="M53" s="138">
        <v>128</v>
      </c>
      <c r="N53" s="138">
        <v>105</v>
      </c>
      <c r="O53" s="138">
        <v>95</v>
      </c>
      <c r="P53" s="138">
        <v>130</v>
      </c>
      <c r="Q53" s="88">
        <f t="shared" ref="Q53:Q84" si="1">MIN(E53:P53)</f>
        <v>85</v>
      </c>
      <c r="R53" s="19" t="str" cm="1">
        <f t="array" ref="R53">_xlfn._xlws.FILTER($E$2:$P$2, E53:P53=MIN(E53:P53))</f>
        <v>vendor2</v>
      </c>
      <c r="S53" s="137" t="s">
        <v>187</v>
      </c>
    </row>
    <row r="54" spans="2:19">
      <c r="B54" s="148"/>
      <c r="C54" s="376"/>
      <c r="D54" s="149" t="s">
        <v>89</v>
      </c>
      <c r="E54" s="138">
        <v>135</v>
      </c>
      <c r="F54" s="141">
        <v>84</v>
      </c>
      <c r="G54" s="138">
        <v>89.7</v>
      </c>
      <c r="H54" s="138">
        <v>110</v>
      </c>
      <c r="I54" s="138"/>
      <c r="J54" s="138">
        <v>150</v>
      </c>
      <c r="K54" s="138">
        <v>180</v>
      </c>
      <c r="L54" s="138">
        <v>160</v>
      </c>
      <c r="M54" s="138">
        <v>128</v>
      </c>
      <c r="N54" s="138">
        <v>98</v>
      </c>
      <c r="O54" s="138">
        <v>95</v>
      </c>
      <c r="P54" s="138">
        <v>130</v>
      </c>
      <c r="Q54" s="88">
        <f t="shared" si="1"/>
        <v>84</v>
      </c>
      <c r="R54" s="19" t="str" cm="1">
        <f t="array" ref="R54">_xlfn._xlws.FILTER($E$2:$P$2, E54:P54=MIN(E54:P54))</f>
        <v>vendor2</v>
      </c>
      <c r="S54" s="137" t="s">
        <v>187</v>
      </c>
    </row>
    <row r="55" spans="2:19">
      <c r="B55" s="148"/>
      <c r="C55" s="376"/>
      <c r="D55" s="149" t="s">
        <v>192</v>
      </c>
      <c r="E55" s="138">
        <v>130</v>
      </c>
      <c r="F55" s="141">
        <v>83</v>
      </c>
      <c r="G55" s="138">
        <v>88.75</v>
      </c>
      <c r="H55" s="138">
        <v>100</v>
      </c>
      <c r="I55" s="138"/>
      <c r="J55" s="138"/>
      <c r="K55" s="138">
        <v>170</v>
      </c>
      <c r="L55" s="138">
        <v>125</v>
      </c>
      <c r="M55" s="138">
        <v>108</v>
      </c>
      <c r="N55" s="138">
        <v>92</v>
      </c>
      <c r="O55" s="138">
        <v>90</v>
      </c>
      <c r="P55" s="138">
        <v>130</v>
      </c>
      <c r="Q55" s="88">
        <f t="shared" si="1"/>
        <v>83</v>
      </c>
      <c r="R55" s="19" t="str" cm="1">
        <f t="array" ref="R55">_xlfn._xlws.FILTER($E$2:$P$2, E55:P55=MIN(E55:P55))</f>
        <v>vendor2</v>
      </c>
      <c r="S55" s="137" t="s">
        <v>187</v>
      </c>
    </row>
    <row r="56" spans="2:19">
      <c r="B56" s="148"/>
      <c r="C56" s="377"/>
      <c r="D56" s="149" t="s">
        <v>193</v>
      </c>
      <c r="E56" s="138">
        <v>125</v>
      </c>
      <c r="F56" s="141">
        <v>82</v>
      </c>
      <c r="G56" s="138">
        <v>86.25</v>
      </c>
      <c r="H56" s="138">
        <v>95</v>
      </c>
      <c r="I56" s="138"/>
      <c r="J56" s="138"/>
      <c r="K56" s="138">
        <v>163</v>
      </c>
      <c r="L56" s="138">
        <v>120</v>
      </c>
      <c r="M56" s="138">
        <v>99</v>
      </c>
      <c r="N56" s="138">
        <v>88</v>
      </c>
      <c r="O56" s="138">
        <v>89</v>
      </c>
      <c r="P56" s="138">
        <v>130</v>
      </c>
      <c r="Q56" s="88">
        <f t="shared" si="1"/>
        <v>82</v>
      </c>
      <c r="R56" s="19" t="str" cm="1">
        <f t="array" ref="R56">_xlfn._xlws.FILTER($E$2:$P$2, E56:P56=MIN(E56:P56))</f>
        <v>vendor2</v>
      </c>
      <c r="S56" s="137" t="s">
        <v>187</v>
      </c>
    </row>
    <row r="57" spans="2:19">
      <c r="B57" s="150">
        <v>16</v>
      </c>
      <c r="C57" s="380" t="s">
        <v>199</v>
      </c>
      <c r="D57" s="140" t="s">
        <v>189</v>
      </c>
      <c r="E57" s="138">
        <v>180</v>
      </c>
      <c r="F57" s="141">
        <v>105</v>
      </c>
      <c r="G57" s="138">
        <v>115</v>
      </c>
      <c r="H57" s="138">
        <v>360</v>
      </c>
      <c r="I57" s="138"/>
      <c r="J57" s="138"/>
      <c r="K57" s="138">
        <v>250</v>
      </c>
      <c r="L57" s="147">
        <v>210</v>
      </c>
      <c r="M57" s="147">
        <v>183</v>
      </c>
      <c r="N57" s="138">
        <v>130</v>
      </c>
      <c r="O57" s="138">
        <v>115</v>
      </c>
      <c r="P57" s="138">
        <v>155</v>
      </c>
      <c r="Q57" s="88">
        <f t="shared" si="1"/>
        <v>105</v>
      </c>
      <c r="R57" s="19" t="str" cm="1">
        <f t="array" ref="R57">_xlfn._xlws.FILTER($E$2:$P$2, E57:P57=MIN(E57:P57))</f>
        <v>vendor2</v>
      </c>
      <c r="S57" s="137" t="s">
        <v>187</v>
      </c>
    </row>
    <row r="58" spans="2:19">
      <c r="B58" s="152"/>
      <c r="C58" s="381"/>
      <c r="D58" s="140" t="s">
        <v>190</v>
      </c>
      <c r="E58" s="138">
        <v>175</v>
      </c>
      <c r="F58" s="141">
        <v>104</v>
      </c>
      <c r="G58" s="138">
        <v>112.7</v>
      </c>
      <c r="H58" s="138">
        <v>220</v>
      </c>
      <c r="I58" s="138"/>
      <c r="J58" s="138"/>
      <c r="K58" s="138">
        <v>200</v>
      </c>
      <c r="L58" s="138">
        <v>210</v>
      </c>
      <c r="M58" s="138">
        <v>178</v>
      </c>
      <c r="N58" s="138">
        <v>125</v>
      </c>
      <c r="O58" s="138">
        <v>115</v>
      </c>
      <c r="P58" s="138">
        <v>155</v>
      </c>
      <c r="Q58" s="88">
        <f t="shared" si="1"/>
        <v>104</v>
      </c>
      <c r="R58" s="19" t="str" cm="1">
        <f t="array" ref="R58">_xlfn._xlws.FILTER($E$2:$P$2, E58:P58=MIN(E58:P58))</f>
        <v>vendor2</v>
      </c>
      <c r="S58" s="137" t="s">
        <v>187</v>
      </c>
    </row>
    <row r="59" spans="2:19">
      <c r="B59" s="152"/>
      <c r="C59" s="381"/>
      <c r="D59" s="149" t="s">
        <v>191</v>
      </c>
      <c r="E59" s="138">
        <v>170</v>
      </c>
      <c r="F59" s="141">
        <v>103</v>
      </c>
      <c r="G59" s="138">
        <v>109.25</v>
      </c>
      <c r="H59" s="138">
        <v>215</v>
      </c>
      <c r="I59" s="138"/>
      <c r="J59" s="138"/>
      <c r="K59" s="138">
        <v>190</v>
      </c>
      <c r="L59" s="138">
        <v>180</v>
      </c>
      <c r="M59" s="138">
        <v>172</v>
      </c>
      <c r="N59" s="138">
        <v>120</v>
      </c>
      <c r="O59" s="138">
        <v>113</v>
      </c>
      <c r="P59" s="138">
        <v>155</v>
      </c>
      <c r="Q59" s="88">
        <f t="shared" si="1"/>
        <v>103</v>
      </c>
      <c r="R59" s="19" t="str" cm="1">
        <f t="array" ref="R59">_xlfn._xlws.FILTER($E$2:$P$2, E59:P59=MIN(E59:P59))</f>
        <v>vendor2</v>
      </c>
      <c r="S59" s="137" t="s">
        <v>187</v>
      </c>
    </row>
    <row r="60" spans="2:19">
      <c r="B60" s="152"/>
      <c r="C60" s="381"/>
      <c r="D60" s="149" t="s">
        <v>89</v>
      </c>
      <c r="E60" s="138">
        <v>165</v>
      </c>
      <c r="F60" s="141">
        <v>102</v>
      </c>
      <c r="G60" s="138">
        <v>105.8</v>
      </c>
      <c r="H60" s="138">
        <v>210</v>
      </c>
      <c r="I60" s="138"/>
      <c r="J60" s="138">
        <v>180</v>
      </c>
      <c r="K60" s="138">
        <v>180</v>
      </c>
      <c r="L60" s="138">
        <v>170</v>
      </c>
      <c r="M60" s="138">
        <v>117</v>
      </c>
      <c r="N60" s="138">
        <v>110</v>
      </c>
      <c r="O60" s="138">
        <v>110</v>
      </c>
      <c r="P60" s="138">
        <v>155</v>
      </c>
      <c r="Q60" s="88">
        <f t="shared" si="1"/>
        <v>102</v>
      </c>
      <c r="R60" s="19" t="str" cm="1">
        <f t="array" ref="R60">_xlfn._xlws.FILTER($E$2:$P$2, E60:P60=MIN(E60:P60))</f>
        <v>vendor2</v>
      </c>
      <c r="S60" s="137" t="s">
        <v>187</v>
      </c>
    </row>
    <row r="61" spans="2:19">
      <c r="B61" s="152"/>
      <c r="C61" s="381"/>
      <c r="D61" s="149" t="s">
        <v>192</v>
      </c>
      <c r="E61" s="138">
        <v>160</v>
      </c>
      <c r="F61" s="138">
        <v>101</v>
      </c>
      <c r="G61" s="138">
        <v>103.5</v>
      </c>
      <c r="H61" s="138">
        <v>200</v>
      </c>
      <c r="I61" s="138"/>
      <c r="J61" s="138"/>
      <c r="K61" s="138">
        <v>170</v>
      </c>
      <c r="L61" s="138">
        <v>120</v>
      </c>
      <c r="M61" s="138">
        <v>108</v>
      </c>
      <c r="N61" s="141">
        <v>100</v>
      </c>
      <c r="O61" s="138">
        <v>105</v>
      </c>
      <c r="P61" s="138">
        <v>155</v>
      </c>
      <c r="Q61" s="88">
        <f t="shared" si="1"/>
        <v>100</v>
      </c>
      <c r="R61" s="19" t="str" cm="1">
        <f t="array" ref="R61">_xlfn._xlws.FILTER($E$2:$P$2, E61:P61=MIN(E61:P61))</f>
        <v>vendor10</v>
      </c>
      <c r="S61" s="137" t="s">
        <v>187</v>
      </c>
    </row>
    <row r="62" spans="2:19">
      <c r="B62" s="152"/>
      <c r="C62" s="154"/>
      <c r="D62" s="149" t="s">
        <v>193</v>
      </c>
      <c r="E62" s="138">
        <v>155</v>
      </c>
      <c r="F62" s="138">
        <v>100</v>
      </c>
      <c r="G62" s="138">
        <v>103.5</v>
      </c>
      <c r="H62" s="138">
        <v>165</v>
      </c>
      <c r="I62" s="138"/>
      <c r="J62" s="138"/>
      <c r="K62" s="138">
        <v>163</v>
      </c>
      <c r="L62" s="138">
        <v>120</v>
      </c>
      <c r="M62" s="138">
        <v>108</v>
      </c>
      <c r="N62" s="141">
        <v>98</v>
      </c>
      <c r="O62" s="138">
        <v>105</v>
      </c>
      <c r="P62" s="138">
        <v>155</v>
      </c>
      <c r="Q62" s="88">
        <f t="shared" si="1"/>
        <v>98</v>
      </c>
      <c r="R62" s="19" t="str" cm="1">
        <f t="array" ref="R62">_xlfn._xlws.FILTER($E$2:$P$2, E62:P62=MIN(E62:P62))</f>
        <v>vendor10</v>
      </c>
      <c r="S62" s="137" t="s">
        <v>187</v>
      </c>
    </row>
    <row r="63" spans="2:19">
      <c r="B63" s="368">
        <v>17</v>
      </c>
      <c r="C63" s="382" t="s">
        <v>200</v>
      </c>
      <c r="D63" s="140" t="s">
        <v>189</v>
      </c>
      <c r="E63" s="138">
        <v>180</v>
      </c>
      <c r="F63" s="141">
        <v>105</v>
      </c>
      <c r="G63" s="138">
        <v>112.7</v>
      </c>
      <c r="H63" s="138">
        <v>360</v>
      </c>
      <c r="I63" s="138"/>
      <c r="J63" s="138"/>
      <c r="K63" s="138">
        <v>300</v>
      </c>
      <c r="L63" s="147">
        <v>210</v>
      </c>
      <c r="M63" s="147">
        <v>183</v>
      </c>
      <c r="N63" s="138">
        <v>135</v>
      </c>
      <c r="O63" s="138">
        <v>113</v>
      </c>
      <c r="P63" s="138"/>
      <c r="Q63" s="88">
        <f t="shared" si="1"/>
        <v>105</v>
      </c>
      <c r="R63" s="19" t="str" cm="1">
        <f t="array" ref="R63">_xlfn._xlws.FILTER($E$2:$P$2, E63:P63=MIN(E63:P63))</f>
        <v>vendor2</v>
      </c>
      <c r="S63" s="137" t="s">
        <v>187</v>
      </c>
    </row>
    <row r="64" spans="2:19">
      <c r="B64" s="373"/>
      <c r="C64" s="376"/>
      <c r="D64" s="140" t="s">
        <v>190</v>
      </c>
      <c r="E64" s="138">
        <v>175</v>
      </c>
      <c r="F64" s="141">
        <v>104</v>
      </c>
      <c r="G64" s="138">
        <v>109.25</v>
      </c>
      <c r="H64" s="138">
        <v>220</v>
      </c>
      <c r="I64" s="138"/>
      <c r="J64" s="138"/>
      <c r="K64" s="138">
        <v>240</v>
      </c>
      <c r="L64" s="138">
        <v>180</v>
      </c>
      <c r="M64" s="138">
        <v>178</v>
      </c>
      <c r="N64" s="138">
        <v>130</v>
      </c>
      <c r="O64" s="138">
        <v>110</v>
      </c>
      <c r="P64" s="138"/>
      <c r="Q64" s="88">
        <f t="shared" si="1"/>
        <v>104</v>
      </c>
      <c r="R64" s="19" t="str" cm="1">
        <f t="array" ref="R64">_xlfn._xlws.FILTER($E$2:$P$2, E64:P64=MIN(E64:P64))</f>
        <v>vendor2</v>
      </c>
      <c r="S64" s="137" t="s">
        <v>187</v>
      </c>
    </row>
    <row r="65" spans="2:19">
      <c r="B65" s="373"/>
      <c r="C65" s="376"/>
      <c r="D65" s="149" t="s">
        <v>191</v>
      </c>
      <c r="E65" s="138">
        <v>170</v>
      </c>
      <c r="F65" s="141">
        <v>103</v>
      </c>
      <c r="G65" s="138">
        <v>109.25</v>
      </c>
      <c r="H65" s="138">
        <v>215</v>
      </c>
      <c r="I65" s="138"/>
      <c r="J65" s="138"/>
      <c r="K65" s="138">
        <v>228</v>
      </c>
      <c r="L65" s="138">
        <v>170</v>
      </c>
      <c r="M65" s="138">
        <v>172</v>
      </c>
      <c r="N65" s="138">
        <v>120</v>
      </c>
      <c r="O65" s="138">
        <v>108</v>
      </c>
      <c r="P65" s="138"/>
      <c r="Q65" s="88">
        <f t="shared" si="1"/>
        <v>103</v>
      </c>
      <c r="R65" s="19" t="str" cm="1">
        <f t="array" ref="R65">_xlfn._xlws.FILTER($E$2:$P$2, E65:P65=MIN(E65:P65))</f>
        <v>vendor2</v>
      </c>
      <c r="S65" s="137" t="s">
        <v>187</v>
      </c>
    </row>
    <row r="66" spans="2:19">
      <c r="B66" s="148"/>
      <c r="C66" s="376"/>
      <c r="D66" s="149" t="s">
        <v>89</v>
      </c>
      <c r="E66" s="138">
        <v>165</v>
      </c>
      <c r="F66" s="141">
        <v>102</v>
      </c>
      <c r="G66" s="138">
        <v>107</v>
      </c>
      <c r="H66" s="138">
        <v>210</v>
      </c>
      <c r="I66" s="138"/>
      <c r="J66" s="138"/>
      <c r="K66" s="138">
        <v>216</v>
      </c>
      <c r="L66" s="138">
        <v>120</v>
      </c>
      <c r="M66" s="138">
        <v>172</v>
      </c>
      <c r="N66" s="138">
        <v>110</v>
      </c>
      <c r="O66" s="138">
        <v>106</v>
      </c>
      <c r="P66" s="138"/>
      <c r="Q66" s="88">
        <f t="shared" si="1"/>
        <v>102</v>
      </c>
      <c r="R66" s="19" t="str" cm="1">
        <f t="array" ref="R66">_xlfn._xlws.FILTER($E$2:$P$2, E66:P66=MIN(E66:P66))</f>
        <v>vendor2</v>
      </c>
      <c r="S66" s="137" t="s">
        <v>187</v>
      </c>
    </row>
    <row r="67" spans="2:19">
      <c r="B67" s="148"/>
      <c r="C67" s="376"/>
      <c r="D67" s="149" t="s">
        <v>192</v>
      </c>
      <c r="E67" s="138">
        <v>160</v>
      </c>
      <c r="F67" s="138">
        <v>101</v>
      </c>
      <c r="G67" s="138">
        <v>103.5</v>
      </c>
      <c r="H67" s="138">
        <v>200</v>
      </c>
      <c r="I67" s="138"/>
      <c r="J67" s="138"/>
      <c r="K67" s="138">
        <v>204</v>
      </c>
      <c r="L67" s="138">
        <v>120</v>
      </c>
      <c r="M67" s="138">
        <v>117</v>
      </c>
      <c r="N67" s="141">
        <v>100</v>
      </c>
      <c r="O67" s="138">
        <v>106</v>
      </c>
      <c r="P67" s="138"/>
      <c r="Q67" s="88">
        <f t="shared" si="1"/>
        <v>100</v>
      </c>
      <c r="R67" s="19" t="str" cm="1">
        <f t="array" ref="R67">_xlfn._xlws.FILTER($E$2:$P$2, E67:P67=MIN(E67:P67))</f>
        <v>vendor10</v>
      </c>
      <c r="S67" s="137" t="s">
        <v>187</v>
      </c>
    </row>
    <row r="68" spans="2:19">
      <c r="B68" s="148"/>
      <c r="C68" s="377"/>
      <c r="D68" s="149" t="s">
        <v>193</v>
      </c>
      <c r="E68" s="138">
        <v>155</v>
      </c>
      <c r="F68" s="138">
        <v>100</v>
      </c>
      <c r="G68" s="138">
        <v>103.5</v>
      </c>
      <c r="H68" s="138">
        <v>170</v>
      </c>
      <c r="I68" s="138"/>
      <c r="J68" s="138"/>
      <c r="K68" s="138">
        <v>195</v>
      </c>
      <c r="L68" s="138">
        <v>120</v>
      </c>
      <c r="M68" s="138">
        <v>108</v>
      </c>
      <c r="N68" s="141">
        <v>98</v>
      </c>
      <c r="O68" s="138">
        <v>105</v>
      </c>
      <c r="P68" s="138"/>
      <c r="Q68" s="88">
        <f t="shared" si="1"/>
        <v>98</v>
      </c>
      <c r="R68" s="19" t="str" cm="1">
        <f t="array" ref="R68">_xlfn._xlws.FILTER($E$2:$P$2, E68:P68=MIN(E68:P68))</f>
        <v>vendor10</v>
      </c>
      <c r="S68" s="137" t="s">
        <v>187</v>
      </c>
    </row>
    <row r="69" spans="2:19">
      <c r="B69" s="150">
        <v>18</v>
      </c>
      <c r="C69" s="380" t="s">
        <v>201</v>
      </c>
      <c r="D69" s="140" t="s">
        <v>189</v>
      </c>
      <c r="E69" s="138">
        <v>215</v>
      </c>
      <c r="F69" s="141">
        <v>127</v>
      </c>
      <c r="G69" s="138">
        <v>135.69999999999999</v>
      </c>
      <c r="H69" s="138">
        <v>360</v>
      </c>
      <c r="I69" s="138"/>
      <c r="J69" s="138"/>
      <c r="K69" s="138">
        <v>350</v>
      </c>
      <c r="L69" s="147">
        <v>250</v>
      </c>
      <c r="M69" s="147">
        <v>223</v>
      </c>
      <c r="N69" s="138">
        <v>150</v>
      </c>
      <c r="O69" s="138">
        <v>136</v>
      </c>
      <c r="P69" s="138"/>
      <c r="Q69" s="88">
        <f t="shared" si="1"/>
        <v>127</v>
      </c>
      <c r="R69" s="19" t="str" cm="1">
        <f t="array" ref="R69">_xlfn._xlws.FILTER($E$2:$P$2, E69:P69=MIN(E69:P69))</f>
        <v>vendor2</v>
      </c>
      <c r="S69" s="137" t="s">
        <v>187</v>
      </c>
    </row>
    <row r="70" spans="2:19">
      <c r="B70" s="152"/>
      <c r="C70" s="381"/>
      <c r="D70" s="140" t="s">
        <v>190</v>
      </c>
      <c r="E70" s="138">
        <v>210</v>
      </c>
      <c r="F70" s="141">
        <v>126</v>
      </c>
      <c r="G70" s="138">
        <v>132.25</v>
      </c>
      <c r="H70" s="138">
        <v>260</v>
      </c>
      <c r="I70" s="138"/>
      <c r="J70" s="138"/>
      <c r="K70" s="138">
        <v>290</v>
      </c>
      <c r="L70" s="138">
        <v>250</v>
      </c>
      <c r="M70" s="138">
        <v>216</v>
      </c>
      <c r="N70" s="138">
        <v>145</v>
      </c>
      <c r="O70" s="138">
        <v>136</v>
      </c>
      <c r="P70" s="138"/>
      <c r="Q70" s="88">
        <f t="shared" si="1"/>
        <v>126</v>
      </c>
      <c r="R70" s="19" t="str" cm="1">
        <f t="array" ref="R70">_xlfn._xlws.FILTER($E$2:$P$2, E70:P70=MIN(E70:P70))</f>
        <v>vendor2</v>
      </c>
      <c r="S70" s="137" t="s">
        <v>187</v>
      </c>
    </row>
    <row r="71" spans="2:19">
      <c r="B71" s="152"/>
      <c r="C71" s="381"/>
      <c r="D71" s="149" t="s">
        <v>191</v>
      </c>
      <c r="E71" s="138">
        <v>205</v>
      </c>
      <c r="F71" s="141">
        <v>125</v>
      </c>
      <c r="G71" s="138">
        <v>132.25</v>
      </c>
      <c r="H71" s="138">
        <v>255</v>
      </c>
      <c r="I71" s="138"/>
      <c r="J71" s="138"/>
      <c r="K71" s="138">
        <v>273.5</v>
      </c>
      <c r="L71" s="138">
        <v>220</v>
      </c>
      <c r="M71" s="138">
        <v>209</v>
      </c>
      <c r="N71" s="138">
        <v>135</v>
      </c>
      <c r="O71" s="138">
        <v>135</v>
      </c>
      <c r="P71" s="138"/>
      <c r="Q71" s="88">
        <f t="shared" si="1"/>
        <v>125</v>
      </c>
      <c r="R71" s="19" t="str" cm="1">
        <f t="array" ref="R71">_xlfn._xlws.FILTER($E$2:$P$2, E71:P71=MIN(E71:P71))</f>
        <v>vendor2</v>
      </c>
      <c r="S71" s="137" t="s">
        <v>187</v>
      </c>
    </row>
    <row r="72" spans="2:19">
      <c r="B72" s="152"/>
      <c r="C72" s="381"/>
      <c r="D72" s="149" t="s">
        <v>89</v>
      </c>
      <c r="E72" s="138">
        <v>180</v>
      </c>
      <c r="F72" s="141">
        <v>124</v>
      </c>
      <c r="G72" s="138">
        <v>128.80000000000001</v>
      </c>
      <c r="H72" s="138">
        <v>250</v>
      </c>
      <c r="I72" s="138"/>
      <c r="J72" s="138"/>
      <c r="K72" s="138">
        <v>260</v>
      </c>
      <c r="L72" s="138">
        <v>180</v>
      </c>
      <c r="M72" s="138">
        <v>209</v>
      </c>
      <c r="N72" s="138">
        <v>130</v>
      </c>
      <c r="O72" s="138">
        <v>135</v>
      </c>
      <c r="P72" s="138"/>
      <c r="Q72" s="88">
        <f t="shared" si="1"/>
        <v>124</v>
      </c>
      <c r="R72" s="19" t="str" cm="1">
        <f t="array" ref="R72">_xlfn._xlws.FILTER($E$2:$P$2, E72:P72=MIN(E72:P72))</f>
        <v>vendor2</v>
      </c>
      <c r="S72" s="137" t="s">
        <v>187</v>
      </c>
    </row>
    <row r="73" spans="2:19">
      <c r="B73" s="152"/>
      <c r="C73" s="381"/>
      <c r="D73" s="149" t="s">
        <v>192</v>
      </c>
      <c r="E73" s="138">
        <v>170</v>
      </c>
      <c r="F73" s="138">
        <v>123</v>
      </c>
      <c r="G73" s="138">
        <v>126.5</v>
      </c>
      <c r="H73" s="138">
        <v>240</v>
      </c>
      <c r="I73" s="138"/>
      <c r="J73" s="138"/>
      <c r="K73" s="138">
        <v>245</v>
      </c>
      <c r="L73" s="138">
        <v>150</v>
      </c>
      <c r="M73" s="138">
        <v>128</v>
      </c>
      <c r="N73" s="141">
        <v>122</v>
      </c>
      <c r="O73" s="138">
        <v>130</v>
      </c>
      <c r="P73" s="138"/>
      <c r="Q73" s="88">
        <f t="shared" si="1"/>
        <v>122</v>
      </c>
      <c r="R73" s="19" t="str" cm="1">
        <f t="array" ref="R73">_xlfn._xlws.FILTER($E$2:$P$2, E73:P73=MIN(E73:P73))</f>
        <v>vendor10</v>
      </c>
      <c r="S73" s="137" t="s">
        <v>187</v>
      </c>
    </row>
    <row r="74" spans="2:19">
      <c r="B74" s="152"/>
      <c r="C74" s="154"/>
      <c r="D74" s="149" t="s">
        <v>193</v>
      </c>
      <c r="E74" s="138">
        <v>160</v>
      </c>
      <c r="F74" s="138">
        <v>122</v>
      </c>
      <c r="G74" s="138">
        <v>124.2</v>
      </c>
      <c r="H74" s="138">
        <v>210</v>
      </c>
      <c r="I74" s="138"/>
      <c r="J74" s="138"/>
      <c r="K74" s="138">
        <v>234</v>
      </c>
      <c r="L74" s="138">
        <v>145</v>
      </c>
      <c r="M74" s="138">
        <v>120</v>
      </c>
      <c r="N74" s="141">
        <v>116</v>
      </c>
      <c r="O74" s="138">
        <v>129</v>
      </c>
      <c r="P74" s="138"/>
      <c r="Q74" s="88">
        <f t="shared" si="1"/>
        <v>116</v>
      </c>
      <c r="R74" s="19" t="str" cm="1">
        <f t="array" ref="R74">_xlfn._xlws.FILTER($E$2:$P$2, E74:P74=MIN(E74:P74))</f>
        <v>vendor10</v>
      </c>
      <c r="S74" s="137" t="s">
        <v>187</v>
      </c>
    </row>
    <row r="75" spans="2:19">
      <c r="B75" s="368">
        <v>19</v>
      </c>
      <c r="C75" s="382" t="s">
        <v>202</v>
      </c>
      <c r="D75" s="140" t="s">
        <v>189</v>
      </c>
      <c r="E75" s="138">
        <v>200</v>
      </c>
      <c r="F75" s="141">
        <v>123</v>
      </c>
      <c r="G75" s="138">
        <v>128.80000000000001</v>
      </c>
      <c r="H75" s="138">
        <v>360</v>
      </c>
      <c r="I75" s="138"/>
      <c r="J75" s="138"/>
      <c r="K75" s="138">
        <v>400</v>
      </c>
      <c r="L75" s="147">
        <v>245</v>
      </c>
      <c r="M75" s="147">
        <v>213</v>
      </c>
      <c r="N75" s="138">
        <v>145</v>
      </c>
      <c r="O75" s="138">
        <v>127</v>
      </c>
      <c r="P75" s="138"/>
      <c r="Q75" s="88">
        <f t="shared" si="1"/>
        <v>123</v>
      </c>
      <c r="R75" s="19" t="str" cm="1">
        <f t="array" ref="R75">_xlfn._xlws.FILTER($E$2:$P$2, E75:P75=MIN(E75:P75))</f>
        <v>vendor2</v>
      </c>
      <c r="S75" s="137" t="s">
        <v>187</v>
      </c>
    </row>
    <row r="76" spans="2:19">
      <c r="B76" s="373"/>
      <c r="C76" s="376"/>
      <c r="D76" s="140" t="s">
        <v>190</v>
      </c>
      <c r="E76" s="138">
        <v>195</v>
      </c>
      <c r="F76" s="141">
        <v>122</v>
      </c>
      <c r="G76" s="138">
        <v>126.5</v>
      </c>
      <c r="H76" s="138">
        <v>250</v>
      </c>
      <c r="I76" s="138"/>
      <c r="J76" s="138"/>
      <c r="K76" s="138">
        <v>350</v>
      </c>
      <c r="L76" s="138">
        <v>240</v>
      </c>
      <c r="M76" s="138">
        <v>206</v>
      </c>
      <c r="N76" s="138">
        <v>140</v>
      </c>
      <c r="O76" s="138">
        <v>127</v>
      </c>
      <c r="P76" s="138"/>
      <c r="Q76" s="88">
        <f t="shared" si="1"/>
        <v>122</v>
      </c>
      <c r="R76" s="19" t="str" cm="1">
        <f t="array" ref="R76">_xlfn._xlws.FILTER($E$2:$P$2, E76:P76=MIN(E76:P76))</f>
        <v>vendor2</v>
      </c>
      <c r="S76" s="137" t="s">
        <v>187</v>
      </c>
    </row>
    <row r="77" spans="2:19">
      <c r="B77" s="373"/>
      <c r="C77" s="376"/>
      <c r="D77" s="149" t="s">
        <v>191</v>
      </c>
      <c r="E77" s="138">
        <v>190</v>
      </c>
      <c r="F77" s="141">
        <v>121</v>
      </c>
      <c r="G77" s="138">
        <v>124.2</v>
      </c>
      <c r="H77" s="138">
        <v>245</v>
      </c>
      <c r="I77" s="138"/>
      <c r="J77" s="138"/>
      <c r="K77" s="138">
        <v>300</v>
      </c>
      <c r="L77" s="138">
        <v>210</v>
      </c>
      <c r="M77" s="138">
        <v>199</v>
      </c>
      <c r="N77" s="138">
        <v>135</v>
      </c>
      <c r="O77" s="138">
        <v>125</v>
      </c>
      <c r="P77" s="138"/>
      <c r="Q77" s="88">
        <f t="shared" si="1"/>
        <v>121</v>
      </c>
      <c r="R77" s="19" t="str" cm="1">
        <f t="array" ref="R77">_xlfn._xlws.FILTER($E$2:$P$2, E77:P77=MIN(E77:P77))</f>
        <v>vendor2</v>
      </c>
      <c r="S77" s="137" t="s">
        <v>187</v>
      </c>
    </row>
    <row r="78" spans="2:19">
      <c r="B78" s="148"/>
      <c r="C78" s="376"/>
      <c r="D78" s="149" t="s">
        <v>89</v>
      </c>
      <c r="E78" s="138">
        <v>185</v>
      </c>
      <c r="F78" s="141">
        <v>120</v>
      </c>
      <c r="G78" s="138">
        <v>124.2</v>
      </c>
      <c r="H78" s="138">
        <v>240</v>
      </c>
      <c r="I78" s="138"/>
      <c r="J78" s="138"/>
      <c r="K78" s="138">
        <v>270</v>
      </c>
      <c r="L78" s="138">
        <v>210</v>
      </c>
      <c r="M78" s="138">
        <v>199</v>
      </c>
      <c r="N78" s="138">
        <v>130</v>
      </c>
      <c r="O78" s="138">
        <v>125</v>
      </c>
      <c r="P78" s="138"/>
      <c r="Q78" s="88">
        <f t="shared" si="1"/>
        <v>120</v>
      </c>
      <c r="R78" s="19" t="str" cm="1">
        <f t="array" ref="R78">_xlfn._xlws.FILTER($E$2:$P$2, E78:P78=MIN(E78:P78))</f>
        <v>vendor2</v>
      </c>
      <c r="S78" s="137" t="s">
        <v>187</v>
      </c>
    </row>
    <row r="79" spans="2:19">
      <c r="B79" s="148"/>
      <c r="C79" s="376"/>
      <c r="D79" s="149" t="s">
        <v>192</v>
      </c>
      <c r="E79" s="138">
        <v>180</v>
      </c>
      <c r="F79" s="141">
        <v>119</v>
      </c>
      <c r="G79" s="138">
        <v>120.75</v>
      </c>
      <c r="H79" s="138">
        <v>230</v>
      </c>
      <c r="I79" s="138"/>
      <c r="J79" s="138"/>
      <c r="K79" s="138">
        <v>260</v>
      </c>
      <c r="L79" s="138">
        <v>160</v>
      </c>
      <c r="M79" s="138">
        <v>124</v>
      </c>
      <c r="N79" s="138">
        <v>120</v>
      </c>
      <c r="O79" s="138">
        <v>122</v>
      </c>
      <c r="P79" s="138"/>
      <c r="Q79" s="88">
        <f t="shared" si="1"/>
        <v>119</v>
      </c>
      <c r="R79" s="19" t="str" cm="1">
        <f t="array" ref="R79">_xlfn._xlws.FILTER($E$2:$P$2, E79:P79=MIN(E79:P79))</f>
        <v>vendor2</v>
      </c>
      <c r="S79" s="137" t="s">
        <v>187</v>
      </c>
    </row>
    <row r="80" spans="2:19">
      <c r="B80" s="148"/>
      <c r="C80" s="377"/>
      <c r="D80" s="149" t="s">
        <v>193</v>
      </c>
      <c r="E80" s="138">
        <v>175</v>
      </c>
      <c r="F80" s="138">
        <v>118</v>
      </c>
      <c r="G80" s="138">
        <v>120.75</v>
      </c>
      <c r="H80" s="138">
        <v>200</v>
      </c>
      <c r="I80" s="138"/>
      <c r="J80" s="138"/>
      <c r="K80" s="138">
        <v>245</v>
      </c>
      <c r="L80" s="138">
        <v>140</v>
      </c>
      <c r="M80" s="138">
        <v>115</v>
      </c>
      <c r="N80" s="141">
        <v>115</v>
      </c>
      <c r="O80" s="138">
        <v>122</v>
      </c>
      <c r="P80" s="138"/>
      <c r="Q80" s="88">
        <f t="shared" si="1"/>
        <v>115</v>
      </c>
      <c r="R80" s="19" t="e" cm="1" vm="1">
        <f t="array" aca="1" ref="R80" ca="1">_xlfn._xlws.FILTER($E$2:$P$2, E80:P80=MIN(E80:P80))</f>
        <v>#VALUE!</v>
      </c>
      <c r="S80" s="137" t="s">
        <v>187</v>
      </c>
    </row>
    <row r="81" spans="2:19">
      <c r="B81" s="150">
        <v>20</v>
      </c>
      <c r="C81" s="380" t="s">
        <v>203</v>
      </c>
      <c r="D81" s="140" t="s">
        <v>189</v>
      </c>
      <c r="E81" s="138">
        <v>250</v>
      </c>
      <c r="F81" s="141">
        <v>147</v>
      </c>
      <c r="G81" s="138">
        <v>155.25</v>
      </c>
      <c r="H81" s="138">
        <v>360</v>
      </c>
      <c r="I81" s="138"/>
      <c r="J81" s="138"/>
      <c r="K81" s="138">
        <v>420</v>
      </c>
      <c r="L81" s="147">
        <v>290</v>
      </c>
      <c r="M81" s="147">
        <v>243</v>
      </c>
      <c r="N81" s="138">
        <v>170</v>
      </c>
      <c r="O81" s="138">
        <v>155.25</v>
      </c>
      <c r="P81" s="138"/>
      <c r="Q81" s="88">
        <f t="shared" si="1"/>
        <v>147</v>
      </c>
      <c r="R81" s="19" t="str" cm="1">
        <f t="array" ref="R81">_xlfn._xlws.FILTER($E$2:$P$2, E81:P81=MIN(E81:P81))</f>
        <v>vendor2</v>
      </c>
      <c r="S81" s="137" t="s">
        <v>187</v>
      </c>
    </row>
    <row r="82" spans="2:19">
      <c r="B82" s="152"/>
      <c r="C82" s="381"/>
      <c r="D82" s="140" t="s">
        <v>190</v>
      </c>
      <c r="E82" s="138">
        <v>245</v>
      </c>
      <c r="F82" s="141">
        <v>146</v>
      </c>
      <c r="G82" s="138">
        <v>149.5</v>
      </c>
      <c r="H82" s="138">
        <v>300</v>
      </c>
      <c r="I82" s="138"/>
      <c r="J82" s="138"/>
      <c r="K82" s="138">
        <v>370</v>
      </c>
      <c r="L82" s="138">
        <v>280</v>
      </c>
      <c r="M82" s="138">
        <v>232</v>
      </c>
      <c r="N82" s="138">
        <v>165</v>
      </c>
      <c r="O82" s="138">
        <v>155</v>
      </c>
      <c r="P82" s="138"/>
      <c r="Q82" s="88">
        <f t="shared" si="1"/>
        <v>146</v>
      </c>
      <c r="R82" s="19" t="str" cm="1">
        <f t="array" ref="R82">_xlfn._xlws.FILTER($E$2:$P$2, E82:P82=MIN(E82:P82))</f>
        <v>vendor2</v>
      </c>
      <c r="S82" s="137" t="s">
        <v>187</v>
      </c>
    </row>
    <row r="83" spans="2:19">
      <c r="B83" s="152"/>
      <c r="C83" s="381"/>
      <c r="D83" s="149" t="s">
        <v>191</v>
      </c>
      <c r="E83" s="138">
        <v>240</v>
      </c>
      <c r="F83" s="141">
        <v>145</v>
      </c>
      <c r="G83" s="138">
        <v>149.5</v>
      </c>
      <c r="H83" s="138">
        <v>295</v>
      </c>
      <c r="I83" s="138"/>
      <c r="J83" s="138"/>
      <c r="K83" s="138">
        <v>320</v>
      </c>
      <c r="L83" s="138">
        <v>250</v>
      </c>
      <c r="M83" s="138">
        <v>224</v>
      </c>
      <c r="N83" s="138">
        <v>155</v>
      </c>
      <c r="O83" s="138">
        <v>150</v>
      </c>
      <c r="P83" s="138"/>
      <c r="Q83" s="88">
        <f t="shared" si="1"/>
        <v>145</v>
      </c>
      <c r="R83" s="19" t="str" cm="1">
        <f t="array" ref="R83">_xlfn._xlws.FILTER($E$2:$P$2, E83:P83=MIN(E83:P83))</f>
        <v>vendor2</v>
      </c>
      <c r="S83" s="137" t="s">
        <v>187</v>
      </c>
    </row>
    <row r="84" spans="2:19">
      <c r="B84" s="152"/>
      <c r="C84" s="381"/>
      <c r="D84" s="149" t="s">
        <v>89</v>
      </c>
      <c r="E84" s="138">
        <v>210</v>
      </c>
      <c r="F84" s="141">
        <v>144</v>
      </c>
      <c r="G84" s="138">
        <v>147.19999999999999</v>
      </c>
      <c r="H84" s="138">
        <v>290</v>
      </c>
      <c r="I84" s="138"/>
      <c r="J84" s="138">
        <v>240</v>
      </c>
      <c r="K84" s="138">
        <v>290</v>
      </c>
      <c r="L84" s="138">
        <v>200</v>
      </c>
      <c r="M84" s="138">
        <v>224</v>
      </c>
      <c r="N84" s="138">
        <v>150</v>
      </c>
      <c r="O84" s="138">
        <v>150</v>
      </c>
      <c r="P84" s="138"/>
      <c r="Q84" s="88">
        <f t="shared" si="1"/>
        <v>144</v>
      </c>
      <c r="R84" s="19" t="str" cm="1">
        <f t="array" ref="R84">_xlfn._xlws.FILTER($E$2:$P$2, E84:P84=MIN(E84:P84))</f>
        <v>vendor2</v>
      </c>
      <c r="S84" s="137" t="s">
        <v>187</v>
      </c>
    </row>
    <row r="85" spans="2:19">
      <c r="B85" s="152"/>
      <c r="C85" s="381"/>
      <c r="D85" s="149" t="s">
        <v>192</v>
      </c>
      <c r="E85" s="138">
        <v>200</v>
      </c>
      <c r="F85" s="138">
        <v>143</v>
      </c>
      <c r="G85" s="138">
        <v>144.9</v>
      </c>
      <c r="H85" s="138">
        <v>280</v>
      </c>
      <c r="I85" s="138"/>
      <c r="J85" s="138"/>
      <c r="K85" s="138">
        <v>280</v>
      </c>
      <c r="L85" s="138">
        <v>170</v>
      </c>
      <c r="M85" s="138">
        <v>147</v>
      </c>
      <c r="N85" s="141">
        <v>140</v>
      </c>
      <c r="O85" s="138">
        <v>147.19999999999999</v>
      </c>
      <c r="P85" s="138"/>
      <c r="Q85" s="88">
        <f t="shared" ref="Q85:Q114" si="2">MIN(E85:P85)</f>
        <v>140</v>
      </c>
      <c r="R85" s="19" t="str" cm="1">
        <f t="array" ref="R85">_xlfn._xlws.FILTER($E$2:$P$2, E85:P85=MIN(E85:P85))</f>
        <v>vendor10</v>
      </c>
      <c r="S85" s="137" t="s">
        <v>187</v>
      </c>
    </row>
    <row r="86" spans="2:19">
      <c r="B86" s="152"/>
      <c r="C86" s="154"/>
      <c r="D86" s="149" t="s">
        <v>193</v>
      </c>
      <c r="E86" s="138">
        <v>195</v>
      </c>
      <c r="F86" s="138">
        <v>142</v>
      </c>
      <c r="G86" s="138">
        <v>143.75</v>
      </c>
      <c r="H86" s="138">
        <v>250</v>
      </c>
      <c r="I86" s="138"/>
      <c r="J86" s="138"/>
      <c r="K86" s="138">
        <v>265</v>
      </c>
      <c r="L86" s="138">
        <v>170</v>
      </c>
      <c r="M86" s="138">
        <v>139</v>
      </c>
      <c r="N86" s="141">
        <v>135</v>
      </c>
      <c r="O86" s="138">
        <v>145</v>
      </c>
      <c r="P86" s="138"/>
      <c r="Q86" s="88">
        <f t="shared" si="2"/>
        <v>135</v>
      </c>
      <c r="R86" s="19" t="str" cm="1">
        <f t="array" ref="R86">_xlfn._xlws.FILTER($E$2:$P$2, E86:P86=MIN(E86:P86))</f>
        <v>vendor10</v>
      </c>
      <c r="S86" s="137" t="s">
        <v>187</v>
      </c>
    </row>
    <row r="87" spans="2:19">
      <c r="B87" s="368">
        <v>21</v>
      </c>
      <c r="C87" s="382" t="s">
        <v>204</v>
      </c>
      <c r="D87" s="140" t="s">
        <v>189</v>
      </c>
      <c r="E87" s="138">
        <v>240</v>
      </c>
      <c r="F87" s="141">
        <v>140</v>
      </c>
      <c r="G87" s="138">
        <v>149.5</v>
      </c>
      <c r="H87" s="138">
        <v>360</v>
      </c>
      <c r="I87" s="138"/>
      <c r="J87" s="138"/>
      <c r="K87" s="138">
        <v>400</v>
      </c>
      <c r="L87" s="147">
        <v>280</v>
      </c>
      <c r="M87" s="147">
        <v>243</v>
      </c>
      <c r="N87" s="138">
        <v>170</v>
      </c>
      <c r="O87" s="138">
        <v>150</v>
      </c>
      <c r="P87" s="138">
        <v>208</v>
      </c>
      <c r="Q87" s="88">
        <f t="shared" si="2"/>
        <v>140</v>
      </c>
      <c r="R87" s="19" t="str" cm="1">
        <f t="array" ref="R87">_xlfn._xlws.FILTER($E$2:$P$2, E87:P87=MIN(E87:P87))</f>
        <v>vendor2</v>
      </c>
      <c r="S87" s="137" t="s">
        <v>187</v>
      </c>
    </row>
    <row r="88" spans="2:19">
      <c r="B88" s="373"/>
      <c r="C88" s="376"/>
      <c r="D88" s="140" t="s">
        <v>190</v>
      </c>
      <c r="E88" s="138">
        <v>235</v>
      </c>
      <c r="F88" s="141">
        <v>139</v>
      </c>
      <c r="G88" s="138">
        <v>147.19999999999999</v>
      </c>
      <c r="H88" s="138">
        <v>290</v>
      </c>
      <c r="I88" s="138"/>
      <c r="J88" s="138"/>
      <c r="K88" s="138">
        <v>340</v>
      </c>
      <c r="L88" s="138">
        <v>270</v>
      </c>
      <c r="M88" s="138">
        <v>232</v>
      </c>
      <c r="N88" s="138">
        <v>165</v>
      </c>
      <c r="O88" s="138">
        <v>150</v>
      </c>
      <c r="P88" s="138">
        <v>208</v>
      </c>
      <c r="Q88" s="88">
        <f t="shared" si="2"/>
        <v>139</v>
      </c>
      <c r="R88" s="19" t="str" cm="1">
        <f t="array" ref="R88">_xlfn._xlws.FILTER($E$2:$P$2, E88:P88=MIN(E88:P88))</f>
        <v>vendor2</v>
      </c>
      <c r="S88" s="137" t="s">
        <v>187</v>
      </c>
    </row>
    <row r="89" spans="2:19">
      <c r="B89" s="373"/>
      <c r="C89" s="376"/>
      <c r="D89" s="149" t="s">
        <v>191</v>
      </c>
      <c r="E89" s="138">
        <v>230</v>
      </c>
      <c r="F89" s="141">
        <v>138</v>
      </c>
      <c r="G89" s="138">
        <v>143.75</v>
      </c>
      <c r="H89" s="138">
        <v>285</v>
      </c>
      <c r="I89" s="138"/>
      <c r="J89" s="138"/>
      <c r="K89" s="138">
        <v>305</v>
      </c>
      <c r="L89" s="138">
        <v>200</v>
      </c>
      <c r="M89" s="138">
        <v>224</v>
      </c>
      <c r="N89" s="138">
        <v>160</v>
      </c>
      <c r="O89" s="138">
        <v>148</v>
      </c>
      <c r="P89" s="138">
        <v>208</v>
      </c>
      <c r="Q89" s="88">
        <f t="shared" si="2"/>
        <v>138</v>
      </c>
      <c r="R89" s="19" t="str" cm="1">
        <f t="array" ref="R89">_xlfn._xlws.FILTER($E$2:$P$2, E89:P89=MIN(E89:P89))</f>
        <v>vendor2</v>
      </c>
      <c r="S89" s="137" t="s">
        <v>187</v>
      </c>
    </row>
    <row r="90" spans="2:19">
      <c r="B90" s="148"/>
      <c r="C90" s="376"/>
      <c r="D90" s="149" t="s">
        <v>89</v>
      </c>
      <c r="E90" s="138">
        <v>200</v>
      </c>
      <c r="F90" s="141">
        <v>137</v>
      </c>
      <c r="G90" s="138">
        <v>140.30000000000001</v>
      </c>
      <c r="H90" s="138">
        <v>280</v>
      </c>
      <c r="I90" s="138"/>
      <c r="J90" s="138"/>
      <c r="K90" s="138">
        <v>288</v>
      </c>
      <c r="L90" s="138">
        <v>180</v>
      </c>
      <c r="M90" s="138">
        <v>224</v>
      </c>
      <c r="N90" s="138">
        <v>145</v>
      </c>
      <c r="O90" s="138">
        <v>148</v>
      </c>
      <c r="P90" s="138">
        <v>208</v>
      </c>
      <c r="Q90" s="88">
        <f t="shared" si="2"/>
        <v>137</v>
      </c>
      <c r="R90" s="19" t="str" cm="1">
        <f t="array" ref="R90">_xlfn._xlws.FILTER($E$2:$P$2, E90:P90=MIN(E90:P90))</f>
        <v>vendor2</v>
      </c>
      <c r="S90" s="137" t="s">
        <v>187</v>
      </c>
    </row>
    <row r="91" spans="2:19">
      <c r="B91" s="148"/>
      <c r="C91" s="376"/>
      <c r="D91" s="149" t="s">
        <v>192</v>
      </c>
      <c r="E91" s="138">
        <v>190</v>
      </c>
      <c r="F91" s="138">
        <v>136</v>
      </c>
      <c r="G91" s="138">
        <v>138</v>
      </c>
      <c r="H91" s="138">
        <v>270</v>
      </c>
      <c r="I91" s="138"/>
      <c r="J91" s="138"/>
      <c r="K91" s="138">
        <v>272</v>
      </c>
      <c r="L91" s="138">
        <v>160</v>
      </c>
      <c r="M91" s="138">
        <v>147</v>
      </c>
      <c r="N91" s="141">
        <v>135</v>
      </c>
      <c r="O91" s="138">
        <v>145</v>
      </c>
      <c r="P91" s="138">
        <v>208</v>
      </c>
      <c r="Q91" s="88">
        <f t="shared" si="2"/>
        <v>135</v>
      </c>
      <c r="R91" s="19" t="str" cm="1">
        <f t="array" ref="R91">_xlfn._xlws.FILTER($E$2:$P$2, E91:P91=MIN(E91:P91))</f>
        <v>vendor10</v>
      </c>
      <c r="S91" s="137" t="s">
        <v>187</v>
      </c>
    </row>
    <row r="92" spans="2:19">
      <c r="B92" s="148"/>
      <c r="C92" s="377"/>
      <c r="D92" s="149" t="s">
        <v>193</v>
      </c>
      <c r="E92" s="138">
        <v>180</v>
      </c>
      <c r="F92" s="138">
        <v>135</v>
      </c>
      <c r="G92" s="138">
        <v>138</v>
      </c>
      <c r="H92" s="138">
        <v>240</v>
      </c>
      <c r="I92" s="138"/>
      <c r="J92" s="138"/>
      <c r="K92" s="138">
        <v>260</v>
      </c>
      <c r="L92" s="138">
        <v>160</v>
      </c>
      <c r="M92" s="138">
        <v>139</v>
      </c>
      <c r="N92" s="141">
        <v>128</v>
      </c>
      <c r="O92" s="138">
        <v>140</v>
      </c>
      <c r="P92" s="138">
        <v>208</v>
      </c>
      <c r="Q92" s="88">
        <f t="shared" si="2"/>
        <v>128</v>
      </c>
      <c r="R92" s="19" t="str" cm="1">
        <f t="array" ref="R92">_xlfn._xlws.FILTER($E$2:$P$2, E92:P92=MIN(E92:P92))</f>
        <v>vendor10</v>
      </c>
      <c r="S92" s="137" t="s">
        <v>187</v>
      </c>
    </row>
    <row r="93" spans="2:19">
      <c r="B93" s="150">
        <v>22</v>
      </c>
      <c r="C93" s="380" t="s">
        <v>205</v>
      </c>
      <c r="D93" s="140" t="s">
        <v>189</v>
      </c>
      <c r="E93" s="138">
        <v>290</v>
      </c>
      <c r="F93" s="141">
        <v>168</v>
      </c>
      <c r="G93" s="138">
        <v>178.25</v>
      </c>
      <c r="H93" s="138">
        <v>360</v>
      </c>
      <c r="I93" s="138"/>
      <c r="J93" s="138"/>
      <c r="K93" s="138">
        <v>420</v>
      </c>
      <c r="L93" s="147">
        <v>330</v>
      </c>
      <c r="M93" s="147">
        <v>273</v>
      </c>
      <c r="N93" s="138">
        <v>200</v>
      </c>
      <c r="O93" s="138">
        <v>180</v>
      </c>
      <c r="P93" s="138">
        <v>250</v>
      </c>
      <c r="Q93" s="88">
        <f t="shared" si="2"/>
        <v>168</v>
      </c>
      <c r="R93" s="19" t="str" cm="1">
        <f t="array" ref="R93">_xlfn._xlws.FILTER($E$2:$P$2, E93:P93=MIN(E93:P93))</f>
        <v>vendor2</v>
      </c>
      <c r="S93" s="137" t="s">
        <v>187</v>
      </c>
    </row>
    <row r="94" spans="2:19">
      <c r="B94" s="152"/>
      <c r="C94" s="381"/>
      <c r="D94" s="140" t="s">
        <v>190</v>
      </c>
      <c r="E94" s="138">
        <v>285</v>
      </c>
      <c r="F94" s="141">
        <v>167</v>
      </c>
      <c r="G94" s="138">
        <v>174.8</v>
      </c>
      <c r="H94" s="138">
        <v>345</v>
      </c>
      <c r="I94" s="138"/>
      <c r="J94" s="138"/>
      <c r="K94" s="138">
        <v>384</v>
      </c>
      <c r="L94" s="138">
        <v>300</v>
      </c>
      <c r="M94" s="138">
        <v>264</v>
      </c>
      <c r="N94" s="138">
        <v>195</v>
      </c>
      <c r="O94" s="138">
        <v>180</v>
      </c>
      <c r="P94" s="138">
        <v>250</v>
      </c>
      <c r="Q94" s="88">
        <f t="shared" si="2"/>
        <v>167</v>
      </c>
      <c r="R94" s="19" t="str" cm="1">
        <f t="array" ref="R94">_xlfn._xlws.FILTER($E$2:$P$2, E94:P94=MIN(E94:P94))</f>
        <v>vendor2</v>
      </c>
      <c r="S94" s="137" t="s">
        <v>187</v>
      </c>
    </row>
    <row r="95" spans="2:19">
      <c r="B95" s="152"/>
      <c r="C95" s="381"/>
      <c r="D95" s="149" t="s">
        <v>191</v>
      </c>
      <c r="E95" s="138">
        <v>280</v>
      </c>
      <c r="F95" s="141">
        <v>166</v>
      </c>
      <c r="G95" s="138">
        <v>172.5</v>
      </c>
      <c r="H95" s="138">
        <v>340</v>
      </c>
      <c r="I95" s="138"/>
      <c r="J95" s="138"/>
      <c r="K95" s="138">
        <v>365</v>
      </c>
      <c r="L95" s="138">
        <v>250</v>
      </c>
      <c r="M95" s="138">
        <v>253</v>
      </c>
      <c r="N95" s="138">
        <v>185</v>
      </c>
      <c r="O95" s="138">
        <v>175</v>
      </c>
      <c r="P95" s="138">
        <v>250</v>
      </c>
      <c r="Q95" s="88">
        <f t="shared" si="2"/>
        <v>166</v>
      </c>
      <c r="R95" s="19" t="str" cm="1">
        <f t="array" ref="R95">_xlfn._xlws.FILTER($E$2:$P$2, E95:P95=MIN(E95:P95))</f>
        <v>vendor2</v>
      </c>
      <c r="S95" s="137" t="s">
        <v>187</v>
      </c>
    </row>
    <row r="96" spans="2:19">
      <c r="B96" s="152"/>
      <c r="C96" s="381"/>
      <c r="D96" s="149" t="s">
        <v>89</v>
      </c>
      <c r="E96" s="138">
        <v>240</v>
      </c>
      <c r="F96" s="141">
        <v>165</v>
      </c>
      <c r="G96" s="138">
        <v>170.2</v>
      </c>
      <c r="H96" s="138">
        <v>335</v>
      </c>
      <c r="I96" s="138"/>
      <c r="J96" s="138">
        <v>280</v>
      </c>
      <c r="K96" s="138">
        <v>345</v>
      </c>
      <c r="L96" s="138">
        <v>200</v>
      </c>
      <c r="M96" s="138">
        <v>253</v>
      </c>
      <c r="N96" s="138">
        <v>175</v>
      </c>
      <c r="O96" s="138">
        <v>175</v>
      </c>
      <c r="P96" s="138">
        <v>250</v>
      </c>
      <c r="Q96" s="88">
        <f t="shared" si="2"/>
        <v>165</v>
      </c>
      <c r="R96" s="19" t="str" cm="1">
        <f t="array" ref="R96">_xlfn._xlws.FILTER($E$2:$P$2, E96:P96=MIN(E96:P96))</f>
        <v>vendor2</v>
      </c>
      <c r="S96" s="137" t="s">
        <v>187</v>
      </c>
    </row>
    <row r="97" spans="2:19">
      <c r="B97" s="152"/>
      <c r="C97" s="381"/>
      <c r="D97" s="149" t="s">
        <v>192</v>
      </c>
      <c r="E97" s="138">
        <v>220</v>
      </c>
      <c r="F97" s="141">
        <v>164</v>
      </c>
      <c r="G97" s="138">
        <v>166.75</v>
      </c>
      <c r="H97" s="138">
        <v>325</v>
      </c>
      <c r="I97" s="138"/>
      <c r="J97" s="138"/>
      <c r="K97" s="138">
        <v>326.5</v>
      </c>
      <c r="L97" s="138">
        <v>190</v>
      </c>
      <c r="M97" s="138">
        <v>177</v>
      </c>
      <c r="N97" s="138">
        <v>165</v>
      </c>
      <c r="O97" s="138">
        <v>167</v>
      </c>
      <c r="P97" s="138">
        <v>250</v>
      </c>
      <c r="Q97" s="88">
        <f t="shared" si="2"/>
        <v>164</v>
      </c>
      <c r="R97" s="19" t="str" cm="1">
        <f t="array" ref="R97">_xlfn._xlws.FILTER($E$2:$P$2, E97:P97=MIN(E97:P97))</f>
        <v>vendor2</v>
      </c>
      <c r="S97" s="137" t="s">
        <v>187</v>
      </c>
    </row>
    <row r="98" spans="2:19">
      <c r="B98" s="152"/>
      <c r="C98" s="153"/>
      <c r="D98" s="149" t="s">
        <v>193</v>
      </c>
      <c r="E98" s="138">
        <v>210</v>
      </c>
      <c r="F98" s="138">
        <v>163</v>
      </c>
      <c r="G98" s="138">
        <v>166.75</v>
      </c>
      <c r="H98" s="138">
        <v>295</v>
      </c>
      <c r="I98" s="138"/>
      <c r="J98" s="138"/>
      <c r="K98" s="138">
        <v>312</v>
      </c>
      <c r="L98" s="138">
        <v>190</v>
      </c>
      <c r="M98" s="138">
        <v>169</v>
      </c>
      <c r="N98" s="141">
        <v>160</v>
      </c>
      <c r="O98" s="138">
        <v>165</v>
      </c>
      <c r="P98" s="138">
        <v>250</v>
      </c>
      <c r="Q98" s="88">
        <f t="shared" si="2"/>
        <v>160</v>
      </c>
      <c r="R98" s="19" t="str" cm="1">
        <f t="array" ref="R98">_xlfn._xlws.FILTER($E$2:$P$2, E98:P98=MIN(E98:P98))</f>
        <v>vendor10</v>
      </c>
      <c r="S98" s="137" t="s">
        <v>187</v>
      </c>
    </row>
    <row r="99" spans="2:19">
      <c r="B99" s="150">
        <v>23</v>
      </c>
      <c r="C99" s="380" t="s">
        <v>206</v>
      </c>
      <c r="D99" s="140" t="s">
        <v>189</v>
      </c>
      <c r="E99" s="138"/>
      <c r="F99" s="141">
        <v>150</v>
      </c>
      <c r="G99" s="138">
        <v>195.5</v>
      </c>
      <c r="H99" s="138">
        <v>360</v>
      </c>
      <c r="I99" s="138"/>
      <c r="J99" s="138"/>
      <c r="K99" s="138">
        <v>500</v>
      </c>
      <c r="L99" s="147">
        <v>350</v>
      </c>
      <c r="M99" s="147">
        <v>325</v>
      </c>
      <c r="N99" s="138">
        <v>220</v>
      </c>
      <c r="O99" s="138">
        <v>200</v>
      </c>
      <c r="P99" s="138">
        <v>260</v>
      </c>
      <c r="Q99" s="88">
        <f t="shared" si="2"/>
        <v>150</v>
      </c>
      <c r="R99" s="19" t="str" cm="1">
        <f t="array" ref="R99">_xlfn._xlws.FILTER($E$2:$P$2, E99:P99=MIN(E99:P99))</f>
        <v>vendor2</v>
      </c>
      <c r="S99" s="137" t="s">
        <v>187</v>
      </c>
    </row>
    <row r="100" spans="2:19">
      <c r="B100" s="152"/>
      <c r="C100" s="381"/>
      <c r="D100" s="140" t="s">
        <v>190</v>
      </c>
      <c r="E100" s="138"/>
      <c r="F100" s="141">
        <v>149</v>
      </c>
      <c r="G100" s="138">
        <v>189.75</v>
      </c>
      <c r="H100" s="138">
        <v>360</v>
      </c>
      <c r="I100" s="138"/>
      <c r="J100" s="138"/>
      <c r="K100" s="138">
        <v>400</v>
      </c>
      <c r="L100" s="138">
        <v>350</v>
      </c>
      <c r="M100" s="138">
        <v>320</v>
      </c>
      <c r="N100" s="138">
        <v>210</v>
      </c>
      <c r="O100" s="138">
        <v>200</v>
      </c>
      <c r="P100" s="138">
        <v>260</v>
      </c>
      <c r="Q100" s="88">
        <f t="shared" si="2"/>
        <v>149</v>
      </c>
      <c r="R100" s="19" t="str" cm="1">
        <f t="array" ref="R100">_xlfn._xlws.FILTER($E$2:$P$2, E100:P100=MIN(E100:P100))</f>
        <v>vendor2</v>
      </c>
      <c r="S100" s="137" t="s">
        <v>187</v>
      </c>
    </row>
    <row r="101" spans="2:19">
      <c r="B101" s="152"/>
      <c r="C101" s="381"/>
      <c r="D101" s="149" t="s">
        <v>191</v>
      </c>
      <c r="E101" s="138"/>
      <c r="F101" s="141">
        <v>148</v>
      </c>
      <c r="G101" s="138">
        <v>186.3</v>
      </c>
      <c r="H101" s="138">
        <v>355</v>
      </c>
      <c r="I101" s="138"/>
      <c r="J101" s="138"/>
      <c r="K101" s="138">
        <v>380</v>
      </c>
      <c r="L101" s="138">
        <v>300</v>
      </c>
      <c r="M101" s="138">
        <v>318</v>
      </c>
      <c r="N101" s="138">
        <v>200</v>
      </c>
      <c r="O101" s="138">
        <v>190</v>
      </c>
      <c r="P101" s="138">
        <v>260</v>
      </c>
      <c r="Q101" s="88">
        <f t="shared" si="2"/>
        <v>148</v>
      </c>
      <c r="R101" s="19" t="str" cm="1">
        <f t="array" ref="R101">_xlfn._xlws.FILTER($E$2:$P$2, E101:P101=MIN(E101:P101))</f>
        <v>vendor2</v>
      </c>
      <c r="S101" s="137" t="s">
        <v>187</v>
      </c>
    </row>
    <row r="102" spans="2:19">
      <c r="B102" s="152"/>
      <c r="C102" s="381"/>
      <c r="D102" s="149" t="s">
        <v>89</v>
      </c>
      <c r="E102" s="138"/>
      <c r="F102" s="141">
        <v>147</v>
      </c>
      <c r="G102" s="138">
        <v>184</v>
      </c>
      <c r="H102" s="138">
        <v>340</v>
      </c>
      <c r="I102" s="138"/>
      <c r="J102" s="138"/>
      <c r="K102" s="138">
        <v>360</v>
      </c>
      <c r="L102" s="138">
        <v>250</v>
      </c>
      <c r="M102" s="138">
        <v>315</v>
      </c>
      <c r="N102" s="138">
        <v>190</v>
      </c>
      <c r="O102" s="138">
        <v>190</v>
      </c>
      <c r="P102" s="138">
        <v>260</v>
      </c>
      <c r="Q102" s="88">
        <f t="shared" si="2"/>
        <v>147</v>
      </c>
      <c r="R102" s="19" t="str" cm="1">
        <f t="array" ref="R102">_xlfn._xlws.FILTER($E$2:$P$2, E102:P102=MIN(E102:P102))</f>
        <v>vendor2</v>
      </c>
      <c r="S102" s="137" t="s">
        <v>187</v>
      </c>
    </row>
    <row r="103" spans="2:19">
      <c r="B103" s="152"/>
      <c r="C103" s="381"/>
      <c r="D103" s="149" t="s">
        <v>192</v>
      </c>
      <c r="E103" s="138"/>
      <c r="F103" s="141">
        <v>146</v>
      </c>
      <c r="G103" s="138">
        <v>184</v>
      </c>
      <c r="H103" s="138">
        <v>338</v>
      </c>
      <c r="I103" s="138"/>
      <c r="J103" s="138"/>
      <c r="K103" s="138">
        <v>340</v>
      </c>
      <c r="L103" s="138">
        <v>250</v>
      </c>
      <c r="M103" s="138">
        <v>310</v>
      </c>
      <c r="N103" s="138">
        <v>180</v>
      </c>
      <c r="O103" s="138">
        <v>185</v>
      </c>
      <c r="P103" s="138">
        <v>260</v>
      </c>
      <c r="Q103" s="88">
        <f t="shared" si="2"/>
        <v>146</v>
      </c>
      <c r="R103" s="19" t="str" cm="1">
        <f t="array" ref="R103">_xlfn._xlws.FILTER($E$2:$P$2, E103:P103=MIN(E103:P103))</f>
        <v>vendor2</v>
      </c>
      <c r="S103" s="137" t="s">
        <v>187</v>
      </c>
    </row>
    <row r="104" spans="2:19">
      <c r="B104" s="152"/>
      <c r="C104" s="153"/>
      <c r="D104" s="149" t="s">
        <v>193</v>
      </c>
      <c r="E104" s="138"/>
      <c r="F104" s="141">
        <v>145</v>
      </c>
      <c r="G104" s="138">
        <v>172.5</v>
      </c>
      <c r="H104" s="138">
        <v>300</v>
      </c>
      <c r="I104" s="138"/>
      <c r="J104" s="138"/>
      <c r="K104" s="138">
        <v>325</v>
      </c>
      <c r="L104" s="138">
        <v>200</v>
      </c>
      <c r="M104" s="138">
        <v>308</v>
      </c>
      <c r="N104" s="138">
        <v>170</v>
      </c>
      <c r="O104" s="138">
        <v>185</v>
      </c>
      <c r="P104" s="138">
        <v>260</v>
      </c>
      <c r="Q104" s="88">
        <f t="shared" si="2"/>
        <v>145</v>
      </c>
      <c r="R104" s="19" t="str" cm="1">
        <f t="array" ref="R104">_xlfn._xlws.FILTER($E$2:$P$2, E104:P104=MIN(E104:P104))</f>
        <v>vendor2</v>
      </c>
      <c r="S104" s="137" t="s">
        <v>187</v>
      </c>
    </row>
    <row r="105" spans="2:19">
      <c r="B105" s="150">
        <v>24</v>
      </c>
      <c r="C105" s="380" t="s">
        <v>207</v>
      </c>
      <c r="D105" s="140" t="s">
        <v>189</v>
      </c>
      <c r="E105" s="138"/>
      <c r="F105" s="141">
        <v>171</v>
      </c>
      <c r="G105" s="138">
        <v>253</v>
      </c>
      <c r="H105" s="138"/>
      <c r="I105" s="138"/>
      <c r="J105" s="138"/>
      <c r="K105" s="138">
        <v>550</v>
      </c>
      <c r="L105" s="147">
        <v>450</v>
      </c>
      <c r="M105" s="147">
        <v>395</v>
      </c>
      <c r="N105" s="138">
        <v>270</v>
      </c>
      <c r="O105" s="138">
        <v>255</v>
      </c>
      <c r="P105" s="138">
        <v>270</v>
      </c>
      <c r="Q105" s="88">
        <f t="shared" si="2"/>
        <v>171</v>
      </c>
      <c r="R105" s="19" t="str" cm="1">
        <f t="array" ref="R105">_xlfn._xlws.FILTER($E$2:$P$2, E105:P105=MIN(E105:P105))</f>
        <v>vendor2</v>
      </c>
      <c r="S105" s="137" t="s">
        <v>187</v>
      </c>
    </row>
    <row r="106" spans="2:19">
      <c r="B106" s="152"/>
      <c r="C106" s="381"/>
      <c r="D106" s="140" t="s">
        <v>190</v>
      </c>
      <c r="E106" s="138"/>
      <c r="F106" s="141">
        <v>170</v>
      </c>
      <c r="G106" s="138">
        <v>247.25</v>
      </c>
      <c r="H106" s="138"/>
      <c r="I106" s="138"/>
      <c r="J106" s="138"/>
      <c r="K106" s="138">
        <v>500</v>
      </c>
      <c r="L106" s="138">
        <v>450</v>
      </c>
      <c r="M106" s="138">
        <v>390</v>
      </c>
      <c r="N106" s="138">
        <v>245</v>
      </c>
      <c r="O106" s="138">
        <v>255</v>
      </c>
      <c r="P106" s="138">
        <v>270</v>
      </c>
      <c r="Q106" s="88">
        <f t="shared" si="2"/>
        <v>170</v>
      </c>
      <c r="R106" s="19" t="str" cm="1">
        <f t="array" ref="R106">_xlfn._xlws.FILTER($E$2:$P$2, E106:P106=MIN(E106:P106))</f>
        <v>vendor2</v>
      </c>
      <c r="S106" s="137" t="s">
        <v>187</v>
      </c>
    </row>
    <row r="107" spans="2:19">
      <c r="B107" s="152"/>
      <c r="C107" s="381"/>
      <c r="D107" s="149" t="s">
        <v>191</v>
      </c>
      <c r="E107" s="138"/>
      <c r="F107" s="141">
        <v>169</v>
      </c>
      <c r="G107" s="138">
        <v>230</v>
      </c>
      <c r="H107" s="138"/>
      <c r="I107" s="138"/>
      <c r="J107" s="138"/>
      <c r="K107" s="138">
        <v>480</v>
      </c>
      <c r="L107" s="138">
        <v>400</v>
      </c>
      <c r="M107" s="138">
        <v>385</v>
      </c>
      <c r="N107" s="138">
        <v>230</v>
      </c>
      <c r="O107" s="138">
        <v>250</v>
      </c>
      <c r="P107" s="138">
        <v>270</v>
      </c>
      <c r="Q107" s="88">
        <f t="shared" si="2"/>
        <v>169</v>
      </c>
      <c r="R107" s="19" t="str" cm="1">
        <f t="array" ref="R107">_xlfn._xlws.FILTER($E$2:$P$2, E107:P107=MIN(E107:P107))</f>
        <v>vendor2</v>
      </c>
      <c r="S107" s="137" t="s">
        <v>187</v>
      </c>
    </row>
    <row r="108" spans="2:19">
      <c r="B108" s="152"/>
      <c r="C108" s="381"/>
      <c r="D108" s="149" t="s">
        <v>89</v>
      </c>
      <c r="E108" s="138"/>
      <c r="F108" s="141">
        <v>168</v>
      </c>
      <c r="G108" s="138">
        <v>212.75</v>
      </c>
      <c r="H108" s="138"/>
      <c r="I108" s="138"/>
      <c r="J108" s="138"/>
      <c r="K108" s="138">
        <v>450</v>
      </c>
      <c r="L108" s="138">
        <v>300</v>
      </c>
      <c r="M108" s="138">
        <v>380</v>
      </c>
      <c r="N108" s="138">
        <v>220</v>
      </c>
      <c r="O108" s="138">
        <v>250</v>
      </c>
      <c r="P108" s="138">
        <v>270</v>
      </c>
      <c r="Q108" s="88">
        <f t="shared" si="2"/>
        <v>168</v>
      </c>
      <c r="R108" s="19" t="str" cm="1">
        <f t="array" ref="R108">_xlfn._xlws.FILTER($E$2:$P$2, E108:P108=MIN(E108:P108))</f>
        <v>vendor2</v>
      </c>
      <c r="S108" s="137" t="s">
        <v>187</v>
      </c>
    </row>
    <row r="109" spans="2:19">
      <c r="B109" s="152"/>
      <c r="C109" s="381"/>
      <c r="D109" s="149" t="s">
        <v>192</v>
      </c>
      <c r="E109" s="138"/>
      <c r="F109" s="141">
        <v>167</v>
      </c>
      <c r="G109" s="138">
        <v>209.3</v>
      </c>
      <c r="H109" s="138"/>
      <c r="I109" s="138"/>
      <c r="J109" s="138"/>
      <c r="K109" s="138">
        <v>430</v>
      </c>
      <c r="L109" s="138">
        <v>250</v>
      </c>
      <c r="M109" s="138">
        <v>377</v>
      </c>
      <c r="N109" s="138">
        <v>205</v>
      </c>
      <c r="O109" s="138">
        <v>220</v>
      </c>
      <c r="P109" s="138">
        <v>270</v>
      </c>
      <c r="Q109" s="88">
        <f t="shared" si="2"/>
        <v>167</v>
      </c>
      <c r="R109" s="19" t="str" cm="1">
        <f t="array" ref="R109">_xlfn._xlws.FILTER($E$2:$P$2, E109:P109=MIN(E109:P109))</f>
        <v>vendor2</v>
      </c>
      <c r="S109" s="137" t="s">
        <v>187</v>
      </c>
    </row>
    <row r="110" spans="2:19">
      <c r="B110" s="152"/>
      <c r="C110" s="153"/>
      <c r="D110" s="149" t="s">
        <v>193</v>
      </c>
      <c r="E110" s="138"/>
      <c r="F110" s="141">
        <v>166</v>
      </c>
      <c r="G110" s="138">
        <v>207</v>
      </c>
      <c r="H110" s="138"/>
      <c r="I110" s="138"/>
      <c r="J110" s="138"/>
      <c r="K110" s="138">
        <v>400</v>
      </c>
      <c r="L110" s="138">
        <v>250</v>
      </c>
      <c r="M110" s="138">
        <v>375</v>
      </c>
      <c r="N110" s="138">
        <v>195</v>
      </c>
      <c r="O110" s="138">
        <v>210</v>
      </c>
      <c r="P110" s="138">
        <v>270</v>
      </c>
      <c r="Q110" s="88">
        <f t="shared" si="2"/>
        <v>166</v>
      </c>
      <c r="R110" s="19" t="str" cm="1">
        <f t="array" ref="R110">_xlfn._xlws.FILTER($E$2:$P$2, E110:P110=MIN(E110:P110))</f>
        <v>vendor2</v>
      </c>
      <c r="S110" s="137" t="s">
        <v>187</v>
      </c>
    </row>
    <row r="111" spans="2:19" ht="34.5" customHeight="1">
      <c r="B111" s="150">
        <v>25</v>
      </c>
      <c r="C111" s="151" t="s">
        <v>208</v>
      </c>
      <c r="D111" s="140" t="s">
        <v>209</v>
      </c>
      <c r="E111" s="138"/>
      <c r="F111" s="141">
        <v>176</v>
      </c>
      <c r="G111" s="138"/>
      <c r="H111" s="138">
        <v>240</v>
      </c>
      <c r="I111" s="138"/>
      <c r="J111" s="138"/>
      <c r="K111" s="138">
        <v>400</v>
      </c>
      <c r="L111" s="138"/>
      <c r="M111" s="138">
        <v>317</v>
      </c>
      <c r="N111" s="138"/>
      <c r="O111" s="138"/>
      <c r="P111" s="138"/>
      <c r="Q111" s="88">
        <f t="shared" si="2"/>
        <v>176</v>
      </c>
      <c r="R111" s="19" t="str" cm="1">
        <f t="array" ref="R111">_xlfn._xlws.FILTER($E$2:$P$2, E111:P111=MIN(E111:P111))</f>
        <v>vendor2</v>
      </c>
      <c r="S111" s="137" t="s">
        <v>187</v>
      </c>
    </row>
    <row r="112" spans="2:19" ht="32.450000000000003" customHeight="1">
      <c r="B112" s="152"/>
      <c r="C112" s="153" t="s">
        <v>210</v>
      </c>
      <c r="D112" s="149" t="s">
        <v>211</v>
      </c>
      <c r="E112" s="138"/>
      <c r="F112" s="141">
        <v>136</v>
      </c>
      <c r="G112" s="138"/>
      <c r="H112" s="138">
        <v>210</v>
      </c>
      <c r="I112" s="138"/>
      <c r="J112" s="138"/>
      <c r="K112" s="138">
        <v>320</v>
      </c>
      <c r="L112" s="138"/>
      <c r="M112" s="138">
        <v>179</v>
      </c>
      <c r="N112" s="138"/>
      <c r="O112" s="138"/>
      <c r="P112" s="138"/>
      <c r="Q112" s="88">
        <f t="shared" si="2"/>
        <v>136</v>
      </c>
      <c r="R112" s="19" t="str" cm="1">
        <f t="array" ref="R112">_xlfn._xlws.FILTER($E$2:$P$2, E112:P112=MIN(E112:P112))</f>
        <v>vendor2</v>
      </c>
      <c r="S112" s="137" t="s">
        <v>187</v>
      </c>
    </row>
    <row r="113" spans="2:19">
      <c r="B113" s="150">
        <v>26</v>
      </c>
      <c r="C113" s="155" t="s">
        <v>212</v>
      </c>
      <c r="D113" s="140" t="s">
        <v>209</v>
      </c>
      <c r="E113" s="138"/>
      <c r="F113" s="141">
        <v>214</v>
      </c>
      <c r="G113" s="138"/>
      <c r="H113" s="138">
        <v>270</v>
      </c>
      <c r="I113" s="138"/>
      <c r="J113" s="138"/>
      <c r="K113" s="138">
        <v>460</v>
      </c>
      <c r="L113" s="138"/>
      <c r="M113" s="138">
        <v>327</v>
      </c>
      <c r="N113" s="138"/>
      <c r="O113" s="138"/>
      <c r="P113" s="138"/>
      <c r="Q113" s="88">
        <f t="shared" si="2"/>
        <v>214</v>
      </c>
      <c r="R113" s="19" t="str" cm="1">
        <f t="array" ref="R113">_xlfn._xlws.FILTER($E$2:$P$2, E113:P113=MIN(E113:P113))</f>
        <v>vendor2</v>
      </c>
      <c r="S113" s="137" t="s">
        <v>187</v>
      </c>
    </row>
    <row r="114" spans="2:19" ht="41.45" customHeight="1">
      <c r="B114" s="152"/>
      <c r="C114" s="153" t="s">
        <v>213</v>
      </c>
      <c r="D114" s="149" t="s">
        <v>211</v>
      </c>
      <c r="E114" s="138"/>
      <c r="F114" s="141">
        <v>172</v>
      </c>
      <c r="G114" s="138"/>
      <c r="H114" s="138">
        <v>240</v>
      </c>
      <c r="I114" s="138"/>
      <c r="J114" s="138"/>
      <c r="K114" s="138">
        <v>370</v>
      </c>
      <c r="L114" s="138"/>
      <c r="M114" s="138">
        <v>189</v>
      </c>
      <c r="N114" s="138"/>
      <c r="O114" s="138"/>
      <c r="P114" s="138"/>
      <c r="Q114" s="88">
        <f t="shared" si="2"/>
        <v>172</v>
      </c>
      <c r="R114" s="19" t="str" cm="1">
        <f t="array" ref="R114">_xlfn._xlws.FILTER($E$2:$P$2, E114:P114=MIN(E114:P114))</f>
        <v>vendor2</v>
      </c>
      <c r="S114" s="137" t="s">
        <v>187</v>
      </c>
    </row>
    <row r="115" spans="2:19">
      <c r="B115" s="150">
        <v>27</v>
      </c>
      <c r="C115" s="151" t="s">
        <v>214</v>
      </c>
      <c r="D115" s="158">
        <v>500</v>
      </c>
      <c r="E115" s="157"/>
      <c r="F115" s="157">
        <v>1.54</v>
      </c>
      <c r="G115" s="159">
        <v>3.75</v>
      </c>
      <c r="H115" s="157">
        <v>8</v>
      </c>
      <c r="I115" s="157"/>
      <c r="J115" s="157"/>
      <c r="K115" s="157">
        <v>1000</v>
      </c>
      <c r="L115" s="157"/>
      <c r="M115" s="157">
        <v>9</v>
      </c>
      <c r="N115" s="157">
        <v>4.5</v>
      </c>
      <c r="O115" s="157">
        <v>21</v>
      </c>
      <c r="P115" s="157"/>
      <c r="Q115" s="239">
        <v>3.75</v>
      </c>
      <c r="R115" s="19" t="str" cm="1">
        <f t="array" ref="R115">_xlfn._xlws.FILTER($E$2:$P$2, E115:P115=MIN(E115:P115))</f>
        <v>vendor2</v>
      </c>
      <c r="S115" s="137" t="s">
        <v>187</v>
      </c>
    </row>
    <row r="116" spans="2:19" ht="36" customHeight="1">
      <c r="B116" s="152"/>
      <c r="C116" s="160" t="s">
        <v>215</v>
      </c>
      <c r="D116" s="158">
        <v>1000</v>
      </c>
      <c r="E116" s="138"/>
      <c r="F116" s="157">
        <v>4.9000000000000004</v>
      </c>
      <c r="G116" s="159">
        <v>3.45</v>
      </c>
      <c r="H116" s="157">
        <v>8</v>
      </c>
      <c r="I116" s="157"/>
      <c r="J116" s="157"/>
      <c r="K116" s="157">
        <v>1500</v>
      </c>
      <c r="L116" s="157"/>
      <c r="M116" s="157">
        <v>6</v>
      </c>
      <c r="N116" s="157">
        <v>4</v>
      </c>
      <c r="O116" s="157">
        <v>18</v>
      </c>
      <c r="P116" s="157"/>
      <c r="Q116" s="239">
        <f>MIN(E116:P116)</f>
        <v>3.45</v>
      </c>
      <c r="R116" s="19" t="str" cm="1">
        <f t="array" ref="R116">_xlfn._xlws.FILTER($E$2:$P$2, E116:P116=MIN(E116:P116))</f>
        <v>vendor3</v>
      </c>
      <c r="S116" s="137" t="s">
        <v>187</v>
      </c>
    </row>
    <row r="117" spans="2:19" ht="36.950000000000003" customHeight="1">
      <c r="B117" s="150">
        <v>28</v>
      </c>
      <c r="C117" s="151" t="s">
        <v>216</v>
      </c>
      <c r="D117" s="149" t="s">
        <v>217</v>
      </c>
      <c r="E117" s="161"/>
      <c r="F117" s="162">
        <v>69</v>
      </c>
      <c r="G117" s="161">
        <v>86.25</v>
      </c>
      <c r="H117" s="161"/>
      <c r="I117" s="161"/>
      <c r="J117" s="161"/>
      <c r="K117" s="161">
        <v>95</v>
      </c>
      <c r="L117" s="161"/>
      <c r="M117" s="161"/>
      <c r="N117" s="161">
        <v>95</v>
      </c>
      <c r="O117" s="161">
        <v>90</v>
      </c>
      <c r="P117" s="161"/>
      <c r="Q117" s="240">
        <f t="shared" ref="Q117:Q148" si="3">MIN(E117:P117)</f>
        <v>69</v>
      </c>
      <c r="R117" s="19" t="str" cm="1">
        <f t="array" ref="R117">_xlfn._xlws.FILTER($E$2:$P$2, E117:P117=MIN(E117:P117))</f>
        <v>vendor2</v>
      </c>
      <c r="S117" s="137" t="s">
        <v>218</v>
      </c>
    </row>
    <row r="118" spans="2:19">
      <c r="B118" s="152"/>
      <c r="C118" s="153" t="s">
        <v>219</v>
      </c>
      <c r="D118" s="149" t="s">
        <v>220</v>
      </c>
      <c r="E118" s="138"/>
      <c r="F118" s="141">
        <v>54</v>
      </c>
      <c r="G118" s="138">
        <v>80.5</v>
      </c>
      <c r="H118" s="138"/>
      <c r="I118" s="138"/>
      <c r="J118" s="138"/>
      <c r="K118" s="138">
        <v>88</v>
      </c>
      <c r="L118" s="138"/>
      <c r="M118" s="138">
        <v>113</v>
      </c>
      <c r="N118" s="138">
        <v>90</v>
      </c>
      <c r="O118" s="138">
        <v>85</v>
      </c>
      <c r="P118" s="138"/>
      <c r="Q118" s="88">
        <f t="shared" si="3"/>
        <v>54</v>
      </c>
      <c r="R118" s="19" t="str" cm="1">
        <f t="array" ref="R118">_xlfn._xlws.FILTER($E$2:$P$2, E118:P118=MIN(E118:P118))</f>
        <v>vendor2</v>
      </c>
      <c r="S118" s="137" t="s">
        <v>218</v>
      </c>
    </row>
    <row r="119" spans="2:19" ht="33.6" customHeight="1">
      <c r="B119" s="150">
        <v>29</v>
      </c>
      <c r="C119" s="151" t="s">
        <v>221</v>
      </c>
      <c r="D119" s="140" t="s">
        <v>222</v>
      </c>
      <c r="E119" s="138"/>
      <c r="F119" s="141">
        <v>32</v>
      </c>
      <c r="G119" s="138">
        <v>42.55</v>
      </c>
      <c r="H119" s="138"/>
      <c r="I119" s="138"/>
      <c r="J119" s="138"/>
      <c r="K119" s="138">
        <v>65</v>
      </c>
      <c r="L119" s="138"/>
      <c r="M119" s="138">
        <v>72</v>
      </c>
      <c r="N119" s="138">
        <v>55</v>
      </c>
      <c r="O119" s="138">
        <v>43</v>
      </c>
      <c r="P119" s="138"/>
      <c r="Q119" s="88">
        <f t="shared" si="3"/>
        <v>32</v>
      </c>
      <c r="R119" s="19" t="str" cm="1">
        <f t="array" ref="R119">_xlfn._xlws.FILTER($E$2:$P$2, E119:P119=MIN(E119:P119))</f>
        <v>vendor2</v>
      </c>
      <c r="S119" s="137" t="s">
        <v>218</v>
      </c>
    </row>
    <row r="120" spans="2:19">
      <c r="B120" s="152"/>
      <c r="C120" s="153" t="s">
        <v>219</v>
      </c>
      <c r="D120" s="140" t="s">
        <v>211</v>
      </c>
      <c r="E120" s="138"/>
      <c r="F120" s="141">
        <v>24</v>
      </c>
      <c r="G120" s="138">
        <v>40.25</v>
      </c>
      <c r="H120" s="138"/>
      <c r="I120" s="138"/>
      <c r="J120" s="138"/>
      <c r="K120" s="138">
        <v>50</v>
      </c>
      <c r="L120" s="138"/>
      <c r="M120" s="138">
        <v>72</v>
      </c>
      <c r="N120" s="138">
        <v>50</v>
      </c>
      <c r="O120" s="138">
        <v>41</v>
      </c>
      <c r="P120" s="138"/>
      <c r="Q120" s="88">
        <f t="shared" si="3"/>
        <v>24</v>
      </c>
      <c r="R120" s="19" t="str" cm="1">
        <f t="array" ref="R120">_xlfn._xlws.FILTER($E$2:$P$2, E120:P120=MIN(E120:P120))</f>
        <v>vendor2</v>
      </c>
      <c r="S120" s="137" t="s">
        <v>218</v>
      </c>
    </row>
    <row r="121" spans="2:19">
      <c r="B121" s="150">
        <v>30</v>
      </c>
      <c r="C121" s="151" t="s">
        <v>223</v>
      </c>
      <c r="D121" s="149">
        <v>5000</v>
      </c>
      <c r="E121" s="138"/>
      <c r="F121" s="138">
        <v>5.9</v>
      </c>
      <c r="G121" s="138">
        <v>48.3</v>
      </c>
      <c r="H121" s="138"/>
      <c r="I121" s="141">
        <v>4</v>
      </c>
      <c r="J121" s="138"/>
      <c r="K121" s="138"/>
      <c r="L121" s="138"/>
      <c r="M121" s="138">
        <v>72</v>
      </c>
      <c r="N121" s="138">
        <v>55</v>
      </c>
      <c r="O121" s="138">
        <v>40</v>
      </c>
      <c r="P121" s="138"/>
      <c r="Q121" s="88">
        <f t="shared" si="3"/>
        <v>4</v>
      </c>
      <c r="R121" s="19" t="str" cm="1">
        <f t="array" ref="R121">_xlfn._xlws.FILTER($E$2:$P$2, E121:P121=MIN(E121:P121))</f>
        <v>vendor5</v>
      </c>
      <c r="S121" s="137" t="s">
        <v>218</v>
      </c>
    </row>
    <row r="122" spans="2:19" ht="30.95" customHeight="1">
      <c r="B122" s="152"/>
      <c r="C122" s="153" t="s">
        <v>224</v>
      </c>
      <c r="D122" s="149">
        <v>10000</v>
      </c>
      <c r="E122" s="138"/>
      <c r="F122" s="138">
        <v>4.84</v>
      </c>
      <c r="G122" s="138">
        <v>46</v>
      </c>
      <c r="H122" s="138"/>
      <c r="I122" s="138">
        <v>3.5</v>
      </c>
      <c r="J122" s="138"/>
      <c r="K122" s="141">
        <v>3.2</v>
      </c>
      <c r="L122" s="138"/>
      <c r="M122" s="138">
        <v>485</v>
      </c>
      <c r="N122" s="138">
        <v>48</v>
      </c>
      <c r="O122" s="138">
        <v>35</v>
      </c>
      <c r="P122" s="138"/>
      <c r="Q122" s="88">
        <f t="shared" si="3"/>
        <v>3.2</v>
      </c>
      <c r="R122" s="19" t="str" cm="1">
        <f t="array" ref="R122">_xlfn._xlws.FILTER($E$2:$P$2, E122:P122=MIN(E122:P122))</f>
        <v>vendor7</v>
      </c>
      <c r="S122" s="137" t="s">
        <v>218</v>
      </c>
    </row>
    <row r="123" spans="2:19">
      <c r="B123" s="150">
        <v>31</v>
      </c>
      <c r="C123" s="163" t="s">
        <v>225</v>
      </c>
      <c r="D123" s="149">
        <v>100</v>
      </c>
      <c r="E123" s="138">
        <v>45</v>
      </c>
      <c r="F123" s="138">
        <v>27</v>
      </c>
      <c r="G123" s="141">
        <v>25.3</v>
      </c>
      <c r="H123" s="138"/>
      <c r="I123" s="138"/>
      <c r="J123" s="138"/>
      <c r="K123" s="138">
        <v>60</v>
      </c>
      <c r="L123" s="138">
        <v>40</v>
      </c>
      <c r="M123" s="138">
        <v>59.5</v>
      </c>
      <c r="N123" s="138">
        <v>35</v>
      </c>
      <c r="O123" s="138">
        <v>26</v>
      </c>
      <c r="P123" s="138">
        <v>37</v>
      </c>
      <c r="Q123" s="88">
        <f t="shared" si="3"/>
        <v>25.3</v>
      </c>
      <c r="R123" s="19" t="str" cm="1">
        <f t="array" ref="R123">_xlfn._xlws.FILTER($E$2:$P$2, E123:P123=MIN(E123:P123))</f>
        <v>vendor3</v>
      </c>
      <c r="S123" s="137" t="s">
        <v>218</v>
      </c>
    </row>
    <row r="124" spans="2:19" ht="34.5" customHeight="1">
      <c r="B124" s="152"/>
      <c r="C124" s="164" t="s">
        <v>226</v>
      </c>
      <c r="D124" s="149">
        <v>500</v>
      </c>
      <c r="E124" s="138">
        <v>40</v>
      </c>
      <c r="F124" s="138">
        <v>26</v>
      </c>
      <c r="G124" s="141">
        <v>24.15</v>
      </c>
      <c r="H124" s="138"/>
      <c r="I124" s="138"/>
      <c r="J124" s="138"/>
      <c r="K124" s="138">
        <v>51</v>
      </c>
      <c r="L124" s="138">
        <v>35</v>
      </c>
      <c r="M124" s="138">
        <v>48.5</v>
      </c>
      <c r="N124" s="138">
        <v>28</v>
      </c>
      <c r="O124" s="138">
        <v>25</v>
      </c>
      <c r="P124" s="138">
        <v>37</v>
      </c>
      <c r="Q124" s="88">
        <f t="shared" si="3"/>
        <v>24.15</v>
      </c>
      <c r="R124" s="19" t="str" cm="1">
        <f t="array" ref="R124">_xlfn._xlws.FILTER($E$2:$P$2, E124:P124=MIN(E124:P124))</f>
        <v>vendor3</v>
      </c>
      <c r="S124" s="137" t="s">
        <v>218</v>
      </c>
    </row>
    <row r="125" spans="2:19">
      <c r="B125" s="152"/>
      <c r="C125" s="164" t="s">
        <v>227</v>
      </c>
      <c r="D125" s="149">
        <v>1000</v>
      </c>
      <c r="E125" s="138">
        <v>36</v>
      </c>
      <c r="F125" s="138">
        <v>25</v>
      </c>
      <c r="G125" s="141">
        <v>23</v>
      </c>
      <c r="H125" s="138"/>
      <c r="I125" s="138"/>
      <c r="J125" s="138"/>
      <c r="K125" s="138">
        <v>49</v>
      </c>
      <c r="L125" s="138">
        <v>30</v>
      </c>
      <c r="M125" s="138">
        <v>39.75</v>
      </c>
      <c r="N125" s="138">
        <v>25</v>
      </c>
      <c r="O125" s="138">
        <v>24</v>
      </c>
      <c r="P125" s="138">
        <v>37</v>
      </c>
      <c r="Q125" s="88">
        <f t="shared" si="3"/>
        <v>23</v>
      </c>
      <c r="R125" s="19" t="str" cm="1">
        <f t="array" ref="R125">_xlfn._xlws.FILTER($E$2:$P$2, E125:P125=MIN(E125:P125))</f>
        <v>vendor3</v>
      </c>
      <c r="S125" s="137" t="s">
        <v>218</v>
      </c>
    </row>
    <row r="126" spans="2:19">
      <c r="B126" s="152"/>
      <c r="C126" s="165" t="s">
        <v>228</v>
      </c>
      <c r="D126" s="149">
        <v>5000</v>
      </c>
      <c r="E126" s="138">
        <v>35</v>
      </c>
      <c r="F126" s="138">
        <v>24</v>
      </c>
      <c r="G126" s="141">
        <v>21.85</v>
      </c>
      <c r="H126" s="138"/>
      <c r="I126" s="138"/>
      <c r="J126" s="138"/>
      <c r="K126" s="138">
        <v>45</v>
      </c>
      <c r="L126" s="138">
        <v>30</v>
      </c>
      <c r="M126" s="138">
        <v>32.4</v>
      </c>
      <c r="N126" s="138">
        <v>23</v>
      </c>
      <c r="O126" s="138">
        <v>23</v>
      </c>
      <c r="P126" s="138">
        <v>35</v>
      </c>
      <c r="Q126" s="88">
        <f t="shared" si="3"/>
        <v>21.85</v>
      </c>
      <c r="R126" s="19" t="str" cm="1">
        <f t="array" ref="R126">_xlfn._xlws.FILTER($E$2:$P$2, E126:P126=MIN(E126:P126))</f>
        <v>vendor3</v>
      </c>
      <c r="S126" s="137" t="s">
        <v>218</v>
      </c>
    </row>
    <row r="127" spans="2:19">
      <c r="B127" s="144">
        <v>32</v>
      </c>
      <c r="C127" s="371" t="s">
        <v>229</v>
      </c>
      <c r="D127" s="149">
        <v>100</v>
      </c>
      <c r="E127" s="138">
        <v>40</v>
      </c>
      <c r="F127" s="138">
        <v>26</v>
      </c>
      <c r="G127" s="141">
        <v>24.15</v>
      </c>
      <c r="H127" s="138"/>
      <c r="I127" s="138"/>
      <c r="J127" s="138"/>
      <c r="K127" s="138">
        <v>60</v>
      </c>
      <c r="L127" s="138">
        <v>40</v>
      </c>
      <c r="M127" s="138">
        <v>57</v>
      </c>
      <c r="N127" s="138">
        <v>34</v>
      </c>
      <c r="O127" s="138">
        <v>25</v>
      </c>
      <c r="P127" s="138">
        <v>37</v>
      </c>
      <c r="Q127" s="88">
        <f t="shared" si="3"/>
        <v>24.15</v>
      </c>
      <c r="R127" s="19" t="str" cm="1">
        <f t="array" ref="R127">_xlfn._xlws.FILTER($E$2:$P$2, E127:P127=MIN(E127:P127))</f>
        <v>vendor3</v>
      </c>
      <c r="S127" s="137" t="s">
        <v>218</v>
      </c>
    </row>
    <row r="128" spans="2:19">
      <c r="B128" s="148"/>
      <c r="C128" s="372"/>
      <c r="D128" s="149">
        <v>500</v>
      </c>
      <c r="E128" s="138">
        <v>37</v>
      </c>
      <c r="F128" s="138">
        <v>25</v>
      </c>
      <c r="G128" s="141">
        <v>23</v>
      </c>
      <c r="H128" s="138"/>
      <c r="I128" s="138"/>
      <c r="J128" s="138"/>
      <c r="K128" s="138">
        <v>51</v>
      </c>
      <c r="L128" s="138">
        <v>35</v>
      </c>
      <c r="M128" s="138">
        <v>46</v>
      </c>
      <c r="N128" s="138">
        <v>27</v>
      </c>
      <c r="O128" s="138">
        <v>24</v>
      </c>
      <c r="P128" s="138">
        <v>37</v>
      </c>
      <c r="Q128" s="88">
        <f t="shared" si="3"/>
        <v>23</v>
      </c>
      <c r="R128" s="19" t="str" cm="1">
        <f t="array" ref="R128">_xlfn._xlws.FILTER($E$2:$P$2, E128:P128=MIN(E128:P128))</f>
        <v>vendor3</v>
      </c>
      <c r="S128" s="137" t="s">
        <v>218</v>
      </c>
    </row>
    <row r="129" spans="2:19">
      <c r="B129" s="148"/>
      <c r="C129" s="372"/>
      <c r="D129" s="149">
        <v>1000</v>
      </c>
      <c r="E129" s="138">
        <v>30</v>
      </c>
      <c r="F129" s="138">
        <v>24</v>
      </c>
      <c r="G129" s="141">
        <v>21.85</v>
      </c>
      <c r="H129" s="138"/>
      <c r="I129" s="138"/>
      <c r="J129" s="138"/>
      <c r="K129" s="138">
        <v>49</v>
      </c>
      <c r="L129" s="138">
        <v>30</v>
      </c>
      <c r="M129" s="138">
        <v>37.5</v>
      </c>
      <c r="N129" s="138">
        <v>24</v>
      </c>
      <c r="O129" s="138">
        <v>24</v>
      </c>
      <c r="P129" s="138">
        <v>37</v>
      </c>
      <c r="Q129" s="88">
        <f t="shared" si="3"/>
        <v>21.85</v>
      </c>
      <c r="R129" s="19" t="str" cm="1">
        <f t="array" ref="R129">_xlfn._xlws.FILTER($E$2:$P$2, E129:P129=MIN(E129:P129))</f>
        <v>vendor3</v>
      </c>
      <c r="S129" s="137" t="s">
        <v>218</v>
      </c>
    </row>
    <row r="130" spans="2:19">
      <c r="B130" s="148"/>
      <c r="C130" s="372"/>
      <c r="D130" s="149">
        <v>5000</v>
      </c>
      <c r="E130" s="138">
        <v>28</v>
      </c>
      <c r="F130" s="138">
        <v>23</v>
      </c>
      <c r="G130" s="141">
        <v>20.7</v>
      </c>
      <c r="H130" s="138"/>
      <c r="I130" s="138"/>
      <c r="J130" s="138"/>
      <c r="K130" s="138">
        <v>45</v>
      </c>
      <c r="L130" s="138">
        <v>30</v>
      </c>
      <c r="M130" s="138">
        <v>29.8</v>
      </c>
      <c r="N130" s="138">
        <v>23</v>
      </c>
      <c r="O130" s="138">
        <v>22</v>
      </c>
      <c r="P130" s="138">
        <v>35</v>
      </c>
      <c r="Q130" s="88">
        <f t="shared" si="3"/>
        <v>20.7</v>
      </c>
      <c r="R130" s="19" t="str" cm="1">
        <f t="array" ref="R130">_xlfn._xlws.FILTER($E$2:$P$2, E130:P130=MIN(E130:P130))</f>
        <v>vendor3</v>
      </c>
      <c r="S130" s="137" t="s">
        <v>218</v>
      </c>
    </row>
    <row r="131" spans="2:19">
      <c r="B131" s="143">
        <v>33</v>
      </c>
      <c r="C131" s="376" t="s">
        <v>230</v>
      </c>
      <c r="D131" s="149">
        <v>100</v>
      </c>
      <c r="E131" s="138">
        <v>170</v>
      </c>
      <c r="F131" s="138">
        <v>135</v>
      </c>
      <c r="G131" s="138">
        <v>120.75</v>
      </c>
      <c r="H131" s="138"/>
      <c r="I131" s="138"/>
      <c r="J131" s="138"/>
      <c r="K131" s="138">
        <v>270</v>
      </c>
      <c r="L131" s="138">
        <v>130</v>
      </c>
      <c r="M131" s="138">
        <v>185</v>
      </c>
      <c r="N131" s="141">
        <v>105</v>
      </c>
      <c r="O131" s="138">
        <v>122</v>
      </c>
      <c r="P131" s="138">
        <v>150</v>
      </c>
      <c r="Q131" s="88">
        <f t="shared" si="3"/>
        <v>105</v>
      </c>
      <c r="R131" s="19" t="str" cm="1">
        <f t="array" ref="R131">_xlfn._xlws.FILTER($E$2:$P$2, E131:P131=MIN(E131:P131))</f>
        <v>vendor10</v>
      </c>
      <c r="S131" s="137" t="s">
        <v>218</v>
      </c>
    </row>
    <row r="132" spans="2:19">
      <c r="B132" s="148"/>
      <c r="C132" s="376"/>
      <c r="D132" s="149">
        <v>500</v>
      </c>
      <c r="E132" s="138">
        <v>160</v>
      </c>
      <c r="F132" s="138">
        <v>134</v>
      </c>
      <c r="G132" s="138">
        <v>117.3</v>
      </c>
      <c r="H132" s="138"/>
      <c r="I132" s="138"/>
      <c r="J132" s="138"/>
      <c r="K132" s="138">
        <v>240</v>
      </c>
      <c r="L132" s="138">
        <v>120</v>
      </c>
      <c r="M132" s="138">
        <v>135</v>
      </c>
      <c r="N132" s="141">
        <v>98</v>
      </c>
      <c r="O132" s="138">
        <v>120</v>
      </c>
      <c r="P132" s="138">
        <v>150</v>
      </c>
      <c r="Q132" s="88">
        <f t="shared" si="3"/>
        <v>98</v>
      </c>
      <c r="R132" s="19" t="str" cm="1">
        <f t="array" ref="R132">_xlfn._xlws.FILTER($E$2:$P$2, E132:P132=MIN(E132:P132))</f>
        <v>vendor10</v>
      </c>
      <c r="S132" s="137" t="s">
        <v>218</v>
      </c>
    </row>
    <row r="133" spans="2:19">
      <c r="B133" s="148"/>
      <c r="C133" s="376"/>
      <c r="D133" s="149">
        <v>1000</v>
      </c>
      <c r="E133" s="138">
        <v>145</v>
      </c>
      <c r="F133" s="138">
        <v>125</v>
      </c>
      <c r="G133" s="138">
        <v>98.9</v>
      </c>
      <c r="H133" s="138"/>
      <c r="I133" s="138"/>
      <c r="J133" s="138"/>
      <c r="K133" s="138">
        <v>230</v>
      </c>
      <c r="L133" s="138">
        <v>115</v>
      </c>
      <c r="M133" s="138">
        <v>122</v>
      </c>
      <c r="N133" s="141">
        <v>94</v>
      </c>
      <c r="O133" s="138">
        <v>118</v>
      </c>
      <c r="P133" s="138">
        <v>150</v>
      </c>
      <c r="Q133" s="88">
        <f t="shared" si="3"/>
        <v>94</v>
      </c>
      <c r="R133" s="19" t="str" cm="1">
        <f t="array" ref="R133">_xlfn._xlws.FILTER($E$2:$P$2, E133:P133=MIN(E133:P133))</f>
        <v>vendor10</v>
      </c>
      <c r="S133" s="137" t="s">
        <v>218</v>
      </c>
    </row>
    <row r="134" spans="2:19">
      <c r="B134" s="148"/>
      <c r="C134" s="377"/>
      <c r="D134" s="149">
        <v>5000</v>
      </c>
      <c r="E134" s="138">
        <v>140</v>
      </c>
      <c r="F134" s="138">
        <v>96</v>
      </c>
      <c r="G134" s="138">
        <v>97.75</v>
      </c>
      <c r="H134" s="138"/>
      <c r="I134" s="138"/>
      <c r="J134" s="138"/>
      <c r="K134" s="138">
        <v>225</v>
      </c>
      <c r="L134" s="138">
        <v>115</v>
      </c>
      <c r="M134" s="138">
        <v>113</v>
      </c>
      <c r="N134" s="141">
        <v>90</v>
      </c>
      <c r="O134" s="138">
        <v>110</v>
      </c>
      <c r="P134" s="138">
        <v>150</v>
      </c>
      <c r="Q134" s="88">
        <f t="shared" si="3"/>
        <v>90</v>
      </c>
      <c r="R134" s="19" t="str" cm="1">
        <f t="array" ref="R134">_xlfn._xlws.FILTER($E$2:$P$2, E134:P134=MIN(E134:P134))</f>
        <v>vendor10</v>
      </c>
      <c r="S134" s="137" t="s">
        <v>218</v>
      </c>
    </row>
    <row r="135" spans="2:19">
      <c r="B135" s="166">
        <v>34</v>
      </c>
      <c r="C135" s="370" t="s">
        <v>231</v>
      </c>
      <c r="D135" s="140" t="s">
        <v>232</v>
      </c>
      <c r="E135" s="138">
        <v>500</v>
      </c>
      <c r="F135" s="138">
        <v>350</v>
      </c>
      <c r="G135" s="141">
        <v>310.5</v>
      </c>
      <c r="H135" s="138">
        <v>600</v>
      </c>
      <c r="I135" s="138"/>
      <c r="J135" s="138"/>
      <c r="K135" s="138">
        <v>600</v>
      </c>
      <c r="L135" s="138">
        <v>550</v>
      </c>
      <c r="M135" s="138">
        <v>850</v>
      </c>
      <c r="N135" s="138">
        <v>350</v>
      </c>
      <c r="O135" s="138">
        <v>315</v>
      </c>
      <c r="P135" s="138"/>
      <c r="Q135" s="88">
        <f t="shared" si="3"/>
        <v>310.5</v>
      </c>
      <c r="R135" s="19" t="str" cm="1">
        <f t="array" ref="R135">_xlfn._xlws.FILTER($E$2:$P$2, E135:P135=MIN(E135:P135))</f>
        <v>vendor3</v>
      </c>
      <c r="S135" s="137" t="s">
        <v>218</v>
      </c>
    </row>
    <row r="136" spans="2:19">
      <c r="B136" s="152"/>
      <c r="C136" s="378"/>
      <c r="D136" s="140" t="s">
        <v>233</v>
      </c>
      <c r="E136" s="138">
        <v>485</v>
      </c>
      <c r="F136" s="138">
        <v>340</v>
      </c>
      <c r="G136" s="141">
        <v>304.75</v>
      </c>
      <c r="H136" s="138">
        <v>550</v>
      </c>
      <c r="I136" s="138"/>
      <c r="J136" s="138"/>
      <c r="K136" s="138">
        <v>555</v>
      </c>
      <c r="L136" s="138">
        <v>550</v>
      </c>
      <c r="M136" s="138">
        <v>780</v>
      </c>
      <c r="N136" s="138">
        <v>330</v>
      </c>
      <c r="O136" s="138">
        <v>310</v>
      </c>
      <c r="P136" s="138"/>
      <c r="Q136" s="88">
        <f t="shared" si="3"/>
        <v>304.75</v>
      </c>
      <c r="R136" s="19" t="str" cm="1">
        <f t="array" ref="R136">_xlfn._xlws.FILTER($E$2:$P$2, E136:P136=MIN(E136:P136))</f>
        <v>vendor3</v>
      </c>
      <c r="S136" s="137" t="s">
        <v>218</v>
      </c>
    </row>
    <row r="137" spans="2:19">
      <c r="B137" s="152"/>
      <c r="C137" s="164" t="s">
        <v>228</v>
      </c>
      <c r="D137" s="140" t="s">
        <v>234</v>
      </c>
      <c r="E137" s="138">
        <v>465</v>
      </c>
      <c r="F137" s="138">
        <v>330</v>
      </c>
      <c r="G137" s="141">
        <v>304.75</v>
      </c>
      <c r="H137" s="138">
        <v>530</v>
      </c>
      <c r="I137" s="138"/>
      <c r="J137" s="138"/>
      <c r="K137" s="138">
        <v>545</v>
      </c>
      <c r="L137" s="138">
        <v>500</v>
      </c>
      <c r="M137" s="138">
        <v>760</v>
      </c>
      <c r="N137" s="138">
        <v>320</v>
      </c>
      <c r="O137" s="138">
        <v>310</v>
      </c>
      <c r="P137" s="138"/>
      <c r="Q137" s="88">
        <f t="shared" si="3"/>
        <v>304.75</v>
      </c>
      <c r="R137" s="19" t="str" cm="1">
        <f t="array" ref="R137">_xlfn._xlws.FILTER($E$2:$P$2, E137:P137=MIN(E137:P137))</f>
        <v>vendor3</v>
      </c>
      <c r="S137" s="137" t="s">
        <v>218</v>
      </c>
    </row>
    <row r="138" spans="2:19">
      <c r="B138" s="152"/>
      <c r="C138" s="167" t="s">
        <v>235</v>
      </c>
      <c r="D138" s="140" t="s">
        <v>236</v>
      </c>
      <c r="E138" s="138">
        <v>450</v>
      </c>
      <c r="F138" s="138">
        <v>320</v>
      </c>
      <c r="G138" s="141">
        <v>299</v>
      </c>
      <c r="H138" s="138">
        <v>480</v>
      </c>
      <c r="I138" s="138"/>
      <c r="J138" s="138"/>
      <c r="K138" s="138">
        <v>528</v>
      </c>
      <c r="L138" s="138">
        <v>450</v>
      </c>
      <c r="M138" s="138">
        <v>750</v>
      </c>
      <c r="N138" s="138">
        <v>310</v>
      </c>
      <c r="O138" s="138">
        <v>305</v>
      </c>
      <c r="P138" s="138"/>
      <c r="Q138" s="88">
        <f t="shared" si="3"/>
        <v>299</v>
      </c>
      <c r="R138" s="19" t="str" cm="1">
        <f t="array" ref="R138">_xlfn._xlws.FILTER($E$2:$P$2, E138:P138=MIN(E138:P138))</f>
        <v>vendor3</v>
      </c>
      <c r="S138" s="137" t="s">
        <v>218</v>
      </c>
    </row>
    <row r="139" spans="2:19">
      <c r="B139" s="152"/>
      <c r="C139" s="167" t="s">
        <v>237</v>
      </c>
      <c r="D139" s="158" t="s">
        <v>238</v>
      </c>
      <c r="E139" s="157">
        <v>435</v>
      </c>
      <c r="F139" s="157">
        <v>315</v>
      </c>
      <c r="G139" s="159">
        <v>293.25</v>
      </c>
      <c r="H139" s="157">
        <v>450</v>
      </c>
      <c r="I139" s="157"/>
      <c r="J139" s="157"/>
      <c r="K139" s="157">
        <v>510</v>
      </c>
      <c r="L139" s="157">
        <v>450</v>
      </c>
      <c r="M139" s="157">
        <v>740</v>
      </c>
      <c r="N139" s="157">
        <v>300</v>
      </c>
      <c r="O139" s="157">
        <v>300</v>
      </c>
      <c r="P139" s="157"/>
      <c r="Q139" s="239">
        <f t="shared" si="3"/>
        <v>293.25</v>
      </c>
      <c r="R139" s="19" t="str" cm="1">
        <f t="array" ref="R139">_xlfn._xlws.FILTER($E$2:$P$2, E139:P139=MIN(E139:P139))</f>
        <v>vendor3</v>
      </c>
      <c r="S139" s="137" t="s">
        <v>218</v>
      </c>
    </row>
    <row r="140" spans="2:19">
      <c r="B140" s="379">
        <v>35</v>
      </c>
      <c r="C140" s="369" t="s">
        <v>239</v>
      </c>
      <c r="D140" s="140" t="s">
        <v>176</v>
      </c>
      <c r="E140" s="138">
        <v>80</v>
      </c>
      <c r="F140" s="141">
        <v>45</v>
      </c>
      <c r="G140" s="138">
        <v>63.25</v>
      </c>
      <c r="H140" s="138"/>
      <c r="I140" s="147">
        <v>120</v>
      </c>
      <c r="J140" s="138"/>
      <c r="K140" s="138">
        <v>150</v>
      </c>
      <c r="L140" s="138">
        <v>108</v>
      </c>
      <c r="M140" s="147">
        <v>95</v>
      </c>
      <c r="N140" s="138">
        <v>65</v>
      </c>
      <c r="O140" s="138">
        <v>65</v>
      </c>
      <c r="P140" s="138"/>
      <c r="Q140" s="88">
        <f t="shared" si="3"/>
        <v>45</v>
      </c>
      <c r="R140" s="19" t="str" cm="1">
        <f t="array" ref="R140">_xlfn._xlws.FILTER($E$2:$P$2, E140:P140=MIN(E140:P140))</f>
        <v>vendor2</v>
      </c>
      <c r="S140" s="137" t="s">
        <v>218</v>
      </c>
    </row>
    <row r="141" spans="2:19">
      <c r="B141" s="379"/>
      <c r="C141" s="369"/>
      <c r="D141" s="140" t="s">
        <v>178</v>
      </c>
      <c r="E141" s="138">
        <v>80</v>
      </c>
      <c r="F141" s="141">
        <v>44</v>
      </c>
      <c r="G141" s="138">
        <v>58.65</v>
      </c>
      <c r="H141" s="138"/>
      <c r="I141" s="138">
        <v>120</v>
      </c>
      <c r="J141" s="138"/>
      <c r="K141" s="138">
        <v>125</v>
      </c>
      <c r="L141" s="138">
        <v>80</v>
      </c>
      <c r="M141" s="138">
        <v>90</v>
      </c>
      <c r="N141" s="138">
        <v>60</v>
      </c>
      <c r="O141" s="138">
        <v>65</v>
      </c>
      <c r="P141" s="138"/>
      <c r="Q141" s="88">
        <f t="shared" si="3"/>
        <v>44</v>
      </c>
      <c r="R141" s="19" t="str" cm="1">
        <f t="array" ref="R141">_xlfn._xlws.FILTER($E$2:$P$2, E141:P141=MIN(E141:P141))</f>
        <v>vendor2</v>
      </c>
      <c r="S141" s="137" t="s">
        <v>218</v>
      </c>
    </row>
    <row r="142" spans="2:19">
      <c r="B142" s="379"/>
      <c r="C142" s="369"/>
      <c r="D142" s="140" t="s">
        <v>190</v>
      </c>
      <c r="E142" s="138">
        <v>80</v>
      </c>
      <c r="F142" s="141">
        <v>43</v>
      </c>
      <c r="G142" s="138">
        <v>57.5</v>
      </c>
      <c r="H142" s="138"/>
      <c r="I142" s="138">
        <v>120</v>
      </c>
      <c r="J142" s="138"/>
      <c r="K142" s="138">
        <v>120</v>
      </c>
      <c r="L142" s="138">
        <v>70</v>
      </c>
      <c r="M142" s="138">
        <v>85</v>
      </c>
      <c r="N142" s="138">
        <v>58</v>
      </c>
      <c r="O142" s="138">
        <v>58</v>
      </c>
      <c r="P142" s="138"/>
      <c r="Q142" s="88">
        <f t="shared" si="3"/>
        <v>43</v>
      </c>
      <c r="R142" s="19" t="str" cm="1">
        <f t="array" ref="R142">_xlfn._xlws.FILTER($E$2:$P$2, E142:P142=MIN(E142:P142))</f>
        <v>vendor2</v>
      </c>
      <c r="S142" s="137" t="s">
        <v>218</v>
      </c>
    </row>
    <row r="143" spans="2:19">
      <c r="B143" s="379"/>
      <c r="C143" s="369"/>
      <c r="D143" s="140" t="s">
        <v>191</v>
      </c>
      <c r="E143" s="138">
        <v>75</v>
      </c>
      <c r="F143" s="141">
        <v>42</v>
      </c>
      <c r="G143" s="138">
        <v>56.35</v>
      </c>
      <c r="H143" s="138"/>
      <c r="I143" s="138">
        <v>120</v>
      </c>
      <c r="J143" s="138"/>
      <c r="K143" s="138">
        <v>110</v>
      </c>
      <c r="L143" s="138">
        <v>70</v>
      </c>
      <c r="M143" s="138">
        <v>82</v>
      </c>
      <c r="N143" s="138">
        <v>56</v>
      </c>
      <c r="O143" s="138">
        <v>58</v>
      </c>
      <c r="P143" s="138"/>
      <c r="Q143" s="88">
        <f t="shared" si="3"/>
        <v>42</v>
      </c>
      <c r="R143" s="19" t="str" cm="1">
        <f t="array" ref="R143">_xlfn._xlws.FILTER($E$2:$P$2, E143:P143=MIN(E143:P143))</f>
        <v>vendor2</v>
      </c>
      <c r="S143" s="137" t="s">
        <v>218</v>
      </c>
    </row>
    <row r="144" spans="2:19">
      <c r="B144" s="379"/>
      <c r="C144" s="369"/>
      <c r="D144" s="140" t="s">
        <v>240</v>
      </c>
      <c r="E144" s="138">
        <v>70</v>
      </c>
      <c r="F144" s="141">
        <v>41</v>
      </c>
      <c r="G144" s="138">
        <v>56.35</v>
      </c>
      <c r="H144" s="138">
        <v>100</v>
      </c>
      <c r="I144" s="138">
        <v>120</v>
      </c>
      <c r="J144" s="138"/>
      <c r="K144" s="138">
        <v>105</v>
      </c>
      <c r="L144" s="138">
        <v>60</v>
      </c>
      <c r="M144" s="138">
        <v>80</v>
      </c>
      <c r="N144" s="138">
        <v>55</v>
      </c>
      <c r="O144" s="138">
        <v>57</v>
      </c>
      <c r="P144" s="138"/>
      <c r="Q144" s="88">
        <f t="shared" si="3"/>
        <v>41</v>
      </c>
      <c r="R144" s="19" t="str" cm="1">
        <f t="array" ref="R144">_xlfn._xlws.FILTER($E$2:$P$2, E144:P144=MIN(E144:P144))</f>
        <v>vendor2</v>
      </c>
      <c r="S144" s="137" t="s">
        <v>218</v>
      </c>
    </row>
    <row r="145" spans="2:19">
      <c r="B145" s="379"/>
      <c r="C145" s="369"/>
      <c r="D145" s="140" t="s">
        <v>105</v>
      </c>
      <c r="E145" s="138">
        <v>65</v>
      </c>
      <c r="F145" s="141">
        <v>40</v>
      </c>
      <c r="G145" s="138">
        <v>55.2</v>
      </c>
      <c r="H145" s="138">
        <v>100</v>
      </c>
      <c r="I145" s="138">
        <v>100</v>
      </c>
      <c r="J145" s="138"/>
      <c r="K145" s="138">
        <v>100</v>
      </c>
      <c r="L145" s="138">
        <v>50</v>
      </c>
      <c r="M145" s="138">
        <v>78</v>
      </c>
      <c r="N145" s="138">
        <v>53</v>
      </c>
      <c r="O145" s="138">
        <v>54</v>
      </c>
      <c r="P145" s="138"/>
      <c r="Q145" s="88">
        <f t="shared" si="3"/>
        <v>40</v>
      </c>
      <c r="R145" s="19" t="str" cm="1">
        <f t="array" ref="R145">_xlfn._xlws.FILTER($E$2:$P$2, E145:P145=MIN(E145:P145))</f>
        <v>vendor2</v>
      </c>
      <c r="S145" s="137" t="s">
        <v>218</v>
      </c>
    </row>
    <row r="146" spans="2:19">
      <c r="B146" s="379"/>
      <c r="C146" s="369"/>
      <c r="D146" s="140" t="s">
        <v>91</v>
      </c>
      <c r="E146" s="138">
        <v>60</v>
      </c>
      <c r="F146" s="141">
        <v>39</v>
      </c>
      <c r="G146" s="138">
        <v>51.75</v>
      </c>
      <c r="H146" s="138">
        <v>90</v>
      </c>
      <c r="I146" s="138">
        <v>100</v>
      </c>
      <c r="J146" s="138"/>
      <c r="K146" s="138">
        <v>95</v>
      </c>
      <c r="L146" s="138">
        <v>50</v>
      </c>
      <c r="M146" s="138">
        <v>65</v>
      </c>
      <c r="N146" s="138">
        <v>50</v>
      </c>
      <c r="O146" s="138">
        <v>52</v>
      </c>
      <c r="P146" s="138"/>
      <c r="Q146" s="88">
        <f t="shared" si="3"/>
        <v>39</v>
      </c>
      <c r="R146" s="19" t="str" cm="1">
        <f t="array" ref="R146">_xlfn._xlws.FILTER($E$2:$P$2, E146:P146=MIN(E146:P146))</f>
        <v>vendor2</v>
      </c>
      <c r="S146" s="137" t="s">
        <v>218</v>
      </c>
    </row>
    <row r="147" spans="2:19">
      <c r="B147" s="379">
        <v>36</v>
      </c>
      <c r="C147" s="369" t="s">
        <v>241</v>
      </c>
      <c r="D147" s="140" t="s">
        <v>176</v>
      </c>
      <c r="E147" s="138">
        <v>45</v>
      </c>
      <c r="F147" s="141">
        <v>27</v>
      </c>
      <c r="G147" s="138">
        <v>33.35</v>
      </c>
      <c r="H147" s="138"/>
      <c r="I147" s="147">
        <v>60</v>
      </c>
      <c r="J147" s="138"/>
      <c r="K147" s="138">
        <v>70</v>
      </c>
      <c r="L147" s="138">
        <v>45</v>
      </c>
      <c r="M147" s="147">
        <v>65</v>
      </c>
      <c r="N147" s="138">
        <v>50</v>
      </c>
      <c r="O147" s="138"/>
      <c r="P147" s="138"/>
      <c r="Q147" s="88">
        <f t="shared" si="3"/>
        <v>27</v>
      </c>
      <c r="R147" s="19" t="str" cm="1">
        <f t="array" ref="R147">_xlfn._xlws.FILTER($E$2:$P$2, E147:P147=MIN(E147:P147))</f>
        <v>vendor2</v>
      </c>
      <c r="S147" s="137" t="s">
        <v>218</v>
      </c>
    </row>
    <row r="148" spans="2:19">
      <c r="B148" s="379"/>
      <c r="C148" s="369"/>
      <c r="D148" s="140" t="s">
        <v>178</v>
      </c>
      <c r="E148" s="138">
        <v>45</v>
      </c>
      <c r="F148" s="141">
        <v>26</v>
      </c>
      <c r="G148" s="138">
        <v>33.35</v>
      </c>
      <c r="H148" s="138"/>
      <c r="I148" s="138">
        <v>60</v>
      </c>
      <c r="J148" s="138"/>
      <c r="K148" s="138">
        <v>68</v>
      </c>
      <c r="L148" s="138">
        <v>45</v>
      </c>
      <c r="M148" s="138">
        <v>60</v>
      </c>
      <c r="N148" s="138">
        <v>45</v>
      </c>
      <c r="O148" s="138">
        <v>35</v>
      </c>
      <c r="P148" s="138"/>
      <c r="Q148" s="88">
        <f t="shared" si="3"/>
        <v>26</v>
      </c>
      <c r="R148" s="19" t="str" cm="1">
        <f t="array" ref="R148">_xlfn._xlws.FILTER($E$2:$P$2, E148:P148=MIN(E148:P148))</f>
        <v>vendor2</v>
      </c>
      <c r="S148" s="137" t="s">
        <v>218</v>
      </c>
    </row>
    <row r="149" spans="2:19">
      <c r="B149" s="379"/>
      <c r="C149" s="369"/>
      <c r="D149" s="140" t="s">
        <v>190</v>
      </c>
      <c r="E149" s="138">
        <v>45</v>
      </c>
      <c r="F149" s="141">
        <v>25</v>
      </c>
      <c r="G149" s="138">
        <v>32.200000000000003</v>
      </c>
      <c r="H149" s="138"/>
      <c r="I149" s="138">
        <v>60</v>
      </c>
      <c r="J149" s="138"/>
      <c r="K149" s="138">
        <v>65</v>
      </c>
      <c r="L149" s="138">
        <v>45</v>
      </c>
      <c r="M149" s="138">
        <v>58</v>
      </c>
      <c r="N149" s="138">
        <v>42</v>
      </c>
      <c r="O149" s="138">
        <v>35</v>
      </c>
      <c r="P149" s="138"/>
      <c r="Q149" s="88">
        <f t="shared" ref="Q149:Q180" si="4">MIN(E149:P149)</f>
        <v>25</v>
      </c>
      <c r="R149" s="19" t="str" cm="1">
        <f t="array" ref="R149">_xlfn._xlws.FILTER($E$2:$P$2, E149:P149=MIN(E149:P149))</f>
        <v>vendor2</v>
      </c>
      <c r="S149" s="137" t="s">
        <v>218</v>
      </c>
    </row>
    <row r="150" spans="2:19">
      <c r="B150" s="379"/>
      <c r="C150" s="369"/>
      <c r="D150" s="140" t="s">
        <v>191</v>
      </c>
      <c r="E150" s="138">
        <v>40</v>
      </c>
      <c r="F150" s="141">
        <v>24</v>
      </c>
      <c r="G150" s="138">
        <v>32.200000000000003</v>
      </c>
      <c r="H150" s="138"/>
      <c r="I150" s="138">
        <v>60</v>
      </c>
      <c r="J150" s="138"/>
      <c r="K150" s="138">
        <v>60</v>
      </c>
      <c r="L150" s="138">
        <v>45</v>
      </c>
      <c r="M150" s="138">
        <v>56</v>
      </c>
      <c r="N150" s="138">
        <v>40</v>
      </c>
      <c r="O150" s="138">
        <v>33</v>
      </c>
      <c r="P150" s="138"/>
      <c r="Q150" s="88">
        <f t="shared" si="4"/>
        <v>24</v>
      </c>
      <c r="R150" s="19" t="str" cm="1">
        <f t="array" ref="R150">_xlfn._xlws.FILTER($E$2:$P$2, E150:P150=MIN(E150:P150))</f>
        <v>vendor2</v>
      </c>
      <c r="S150" s="137" t="s">
        <v>218</v>
      </c>
    </row>
    <row r="151" spans="2:19">
      <c r="B151" s="379"/>
      <c r="C151" s="369"/>
      <c r="D151" s="140" t="s">
        <v>240</v>
      </c>
      <c r="E151" s="138">
        <v>38</v>
      </c>
      <c r="F151" s="141">
        <v>23</v>
      </c>
      <c r="G151" s="138">
        <v>28.75</v>
      </c>
      <c r="H151" s="138">
        <v>70</v>
      </c>
      <c r="I151" s="138">
        <v>60</v>
      </c>
      <c r="J151" s="138"/>
      <c r="K151" s="138">
        <v>55</v>
      </c>
      <c r="L151" s="138">
        <v>40</v>
      </c>
      <c r="M151" s="138">
        <v>54</v>
      </c>
      <c r="N151" s="138">
        <v>35</v>
      </c>
      <c r="O151" s="138">
        <v>33</v>
      </c>
      <c r="P151" s="138"/>
      <c r="Q151" s="88">
        <f t="shared" si="4"/>
        <v>23</v>
      </c>
      <c r="R151" s="19" t="str" cm="1">
        <f t="array" ref="R151">_xlfn._xlws.FILTER($E$2:$P$2, E151:P151=MIN(E151:P151))</f>
        <v>vendor2</v>
      </c>
      <c r="S151" s="137" t="s">
        <v>218</v>
      </c>
    </row>
    <row r="152" spans="2:19">
      <c r="B152" s="379"/>
      <c r="C152" s="369"/>
      <c r="D152" s="140" t="s">
        <v>105</v>
      </c>
      <c r="E152" s="138">
        <v>36</v>
      </c>
      <c r="F152" s="141">
        <v>22</v>
      </c>
      <c r="G152" s="138">
        <v>28.75</v>
      </c>
      <c r="H152" s="138">
        <v>70</v>
      </c>
      <c r="I152" s="138">
        <v>50</v>
      </c>
      <c r="J152" s="138"/>
      <c r="K152" s="138">
        <v>52</v>
      </c>
      <c r="L152" s="138">
        <v>30</v>
      </c>
      <c r="M152" s="138">
        <v>55</v>
      </c>
      <c r="N152" s="138">
        <v>33</v>
      </c>
      <c r="O152" s="138">
        <v>33</v>
      </c>
      <c r="P152" s="138"/>
      <c r="Q152" s="88">
        <f t="shared" si="4"/>
        <v>22</v>
      </c>
      <c r="R152" s="19" t="str" cm="1">
        <f t="array" ref="R152">_xlfn._xlws.FILTER($E$2:$P$2, E152:P152=MIN(E152:P152))</f>
        <v>vendor2</v>
      </c>
      <c r="S152" s="137" t="s">
        <v>218</v>
      </c>
    </row>
    <row r="153" spans="2:19">
      <c r="B153" s="379"/>
      <c r="C153" s="369"/>
      <c r="D153" s="140" t="s">
        <v>91</v>
      </c>
      <c r="E153" s="138">
        <v>35</v>
      </c>
      <c r="F153" s="141">
        <v>21</v>
      </c>
      <c r="G153" s="138">
        <v>27.6</v>
      </c>
      <c r="H153" s="138">
        <v>60</v>
      </c>
      <c r="I153" s="138">
        <v>50</v>
      </c>
      <c r="J153" s="138"/>
      <c r="K153" s="138">
        <v>48</v>
      </c>
      <c r="L153" s="138">
        <v>30</v>
      </c>
      <c r="M153" s="138">
        <v>45</v>
      </c>
      <c r="N153" s="138">
        <v>30</v>
      </c>
      <c r="O153" s="138">
        <v>30</v>
      </c>
      <c r="P153" s="138"/>
      <c r="Q153" s="88">
        <f t="shared" si="4"/>
        <v>21</v>
      </c>
      <c r="R153" s="19" t="str" cm="1">
        <f t="array" ref="R153">_xlfn._xlws.FILTER($E$2:$P$2, E153:P153=MIN(E153:P153))</f>
        <v>vendor2</v>
      </c>
      <c r="S153" s="137" t="s">
        <v>218</v>
      </c>
    </row>
    <row r="154" spans="2:19">
      <c r="B154" s="367">
        <v>37</v>
      </c>
      <c r="C154" s="369" t="s">
        <v>242</v>
      </c>
      <c r="D154" s="140" t="s">
        <v>176</v>
      </c>
      <c r="E154" s="138">
        <v>25</v>
      </c>
      <c r="F154" s="141">
        <v>18</v>
      </c>
      <c r="G154" s="138">
        <v>23</v>
      </c>
      <c r="H154" s="138"/>
      <c r="I154" s="138">
        <v>40</v>
      </c>
      <c r="J154" s="138"/>
      <c r="K154" s="138">
        <v>40</v>
      </c>
      <c r="L154" s="147">
        <v>20</v>
      </c>
      <c r="M154" s="147">
        <v>38</v>
      </c>
      <c r="N154" s="138">
        <v>40</v>
      </c>
      <c r="O154" s="138">
        <v>23</v>
      </c>
      <c r="P154" s="138"/>
      <c r="Q154" s="88">
        <f t="shared" si="4"/>
        <v>18</v>
      </c>
      <c r="R154" s="19" t="str" cm="1">
        <f t="array" ref="R154">_xlfn._xlws.FILTER($E$2:$P$2, E154:P154=MIN(E154:P154))</f>
        <v>vendor2</v>
      </c>
      <c r="S154" s="137" t="s">
        <v>218</v>
      </c>
    </row>
    <row r="155" spans="2:19">
      <c r="B155" s="367"/>
      <c r="C155" s="369"/>
      <c r="D155" s="140" t="s">
        <v>178</v>
      </c>
      <c r="E155" s="138">
        <v>25</v>
      </c>
      <c r="F155" s="141">
        <v>17</v>
      </c>
      <c r="G155" s="138">
        <v>21.85</v>
      </c>
      <c r="H155" s="138"/>
      <c r="I155" s="138">
        <v>40</v>
      </c>
      <c r="J155" s="138"/>
      <c r="K155" s="138">
        <v>35</v>
      </c>
      <c r="L155" s="138">
        <v>20</v>
      </c>
      <c r="M155" s="138">
        <v>35</v>
      </c>
      <c r="N155" s="138">
        <v>35</v>
      </c>
      <c r="O155" s="138">
        <v>23</v>
      </c>
      <c r="P155" s="138"/>
      <c r="Q155" s="88">
        <f t="shared" si="4"/>
        <v>17</v>
      </c>
      <c r="R155" s="19" t="str" cm="1">
        <f t="array" ref="R155">_xlfn._xlws.FILTER($E$2:$P$2, E155:P155=MIN(E155:P155))</f>
        <v>vendor2</v>
      </c>
      <c r="S155" s="137" t="s">
        <v>218</v>
      </c>
    </row>
    <row r="156" spans="2:19">
      <c r="B156" s="367"/>
      <c r="C156" s="369"/>
      <c r="D156" s="140" t="s">
        <v>190</v>
      </c>
      <c r="E156" s="138">
        <v>25</v>
      </c>
      <c r="F156" s="141">
        <v>16</v>
      </c>
      <c r="G156" s="138">
        <v>19.55</v>
      </c>
      <c r="H156" s="138"/>
      <c r="I156" s="138">
        <v>40</v>
      </c>
      <c r="J156" s="138"/>
      <c r="K156" s="138">
        <v>30</v>
      </c>
      <c r="L156" s="138">
        <v>20</v>
      </c>
      <c r="M156" s="138">
        <v>33</v>
      </c>
      <c r="N156" s="138">
        <v>30</v>
      </c>
      <c r="O156" s="138">
        <v>22</v>
      </c>
      <c r="P156" s="138"/>
      <c r="Q156" s="88">
        <f t="shared" si="4"/>
        <v>16</v>
      </c>
      <c r="R156" s="19" t="str" cm="1">
        <f t="array" ref="R156">_xlfn._xlws.FILTER($E$2:$P$2, E156:P156=MIN(E156:P156))</f>
        <v>vendor2</v>
      </c>
      <c r="S156" s="137" t="s">
        <v>218</v>
      </c>
    </row>
    <row r="157" spans="2:19">
      <c r="B157" s="367"/>
      <c r="C157" s="369"/>
      <c r="D157" s="140" t="s">
        <v>191</v>
      </c>
      <c r="E157" s="138">
        <v>23</v>
      </c>
      <c r="F157" s="141">
        <v>15</v>
      </c>
      <c r="G157" s="138">
        <v>18.399999999999999</v>
      </c>
      <c r="H157" s="138"/>
      <c r="I157" s="138">
        <v>40</v>
      </c>
      <c r="J157" s="138"/>
      <c r="K157" s="138">
        <v>28.5</v>
      </c>
      <c r="L157" s="138">
        <v>20</v>
      </c>
      <c r="M157" s="138">
        <v>32</v>
      </c>
      <c r="N157" s="138">
        <v>28</v>
      </c>
      <c r="O157" s="138">
        <v>22</v>
      </c>
      <c r="P157" s="138"/>
      <c r="Q157" s="88">
        <f t="shared" si="4"/>
        <v>15</v>
      </c>
      <c r="R157" s="19" t="str" cm="1">
        <f t="array" ref="R157">_xlfn._xlws.FILTER($E$2:$P$2, E157:P157=MIN(E157:P157))</f>
        <v>vendor2</v>
      </c>
      <c r="S157" s="137" t="s">
        <v>218</v>
      </c>
    </row>
    <row r="158" spans="2:19">
      <c r="B158" s="367"/>
      <c r="C158" s="369"/>
      <c r="D158" s="140" t="s">
        <v>240</v>
      </c>
      <c r="E158" s="138">
        <v>22</v>
      </c>
      <c r="F158" s="141">
        <v>14</v>
      </c>
      <c r="G158" s="138">
        <v>17.25</v>
      </c>
      <c r="H158" s="138">
        <v>50</v>
      </c>
      <c r="I158" s="138">
        <v>40</v>
      </c>
      <c r="J158" s="138"/>
      <c r="K158" s="138">
        <v>27</v>
      </c>
      <c r="L158" s="138">
        <v>15</v>
      </c>
      <c r="M158" s="138">
        <v>30</v>
      </c>
      <c r="N158" s="138">
        <v>25</v>
      </c>
      <c r="O158" s="138">
        <v>20</v>
      </c>
      <c r="P158" s="138"/>
      <c r="Q158" s="88">
        <f t="shared" si="4"/>
        <v>14</v>
      </c>
      <c r="R158" s="19" t="str" cm="1">
        <f t="array" ref="R158">_xlfn._xlws.FILTER($E$2:$P$2, E158:P158=MIN(E158:P158))</f>
        <v>vendor2</v>
      </c>
      <c r="S158" s="137" t="s">
        <v>218</v>
      </c>
    </row>
    <row r="159" spans="2:19">
      <c r="B159" s="367"/>
      <c r="C159" s="369"/>
      <c r="D159" s="140" t="s">
        <v>105</v>
      </c>
      <c r="E159" s="138">
        <v>21</v>
      </c>
      <c r="F159" s="141">
        <v>13</v>
      </c>
      <c r="G159" s="138">
        <v>16.100000000000001</v>
      </c>
      <c r="H159" s="138">
        <v>50</v>
      </c>
      <c r="I159" s="138">
        <v>35</v>
      </c>
      <c r="J159" s="138"/>
      <c r="K159" s="138">
        <v>26</v>
      </c>
      <c r="L159" s="138">
        <v>15</v>
      </c>
      <c r="M159" s="138">
        <v>28</v>
      </c>
      <c r="N159" s="138">
        <v>21</v>
      </c>
      <c r="O159" s="138">
        <v>16.5</v>
      </c>
      <c r="P159" s="138"/>
      <c r="Q159" s="88">
        <f t="shared" si="4"/>
        <v>13</v>
      </c>
      <c r="R159" s="19" t="str" cm="1">
        <f t="array" ref="R159">_xlfn._xlws.FILTER($E$2:$P$2, E159:P159=MIN(E159:P159))</f>
        <v>vendor2</v>
      </c>
      <c r="S159" s="137" t="s">
        <v>218</v>
      </c>
    </row>
    <row r="160" spans="2:19">
      <c r="B160" s="368"/>
      <c r="C160" s="370"/>
      <c r="D160" s="140" t="s">
        <v>91</v>
      </c>
      <c r="E160" s="138">
        <v>20</v>
      </c>
      <c r="F160" s="141">
        <v>12</v>
      </c>
      <c r="G160" s="138">
        <v>14.95</v>
      </c>
      <c r="H160" s="138">
        <v>35</v>
      </c>
      <c r="I160" s="138">
        <v>35</v>
      </c>
      <c r="J160" s="138"/>
      <c r="K160" s="138">
        <v>25</v>
      </c>
      <c r="L160" s="138">
        <v>15</v>
      </c>
      <c r="M160" s="138">
        <v>24</v>
      </c>
      <c r="N160" s="138">
        <v>20</v>
      </c>
      <c r="O160" s="138">
        <v>16</v>
      </c>
      <c r="P160" s="138"/>
      <c r="Q160" s="88">
        <f t="shared" si="4"/>
        <v>12</v>
      </c>
      <c r="R160" s="19" t="str" cm="1">
        <f t="array" ref="R160">_xlfn._xlws.FILTER($E$2:$P$2, E160:P160=MIN(E160:P160))</f>
        <v>vendor2</v>
      </c>
      <c r="S160" s="137" t="s">
        <v>218</v>
      </c>
    </row>
    <row r="161" spans="2:19">
      <c r="B161" s="150">
        <v>38</v>
      </c>
      <c r="C161" s="151" t="s">
        <v>243</v>
      </c>
      <c r="D161" s="149" t="s">
        <v>244</v>
      </c>
      <c r="E161" s="138"/>
      <c r="F161" s="138">
        <v>8.5</v>
      </c>
      <c r="G161" s="138">
        <v>6.9</v>
      </c>
      <c r="H161" s="138">
        <v>15</v>
      </c>
      <c r="I161" s="138"/>
      <c r="J161" s="138"/>
      <c r="K161" s="141">
        <v>3</v>
      </c>
      <c r="L161" s="138">
        <v>5</v>
      </c>
      <c r="M161" s="138">
        <v>32</v>
      </c>
      <c r="N161" s="138">
        <v>9</v>
      </c>
      <c r="O161" s="138">
        <v>7.2</v>
      </c>
      <c r="P161" s="138"/>
      <c r="Q161" s="88">
        <f t="shared" si="4"/>
        <v>3</v>
      </c>
      <c r="R161" s="19" t="str" cm="1">
        <f t="array" ref="R161">_xlfn._xlws.FILTER($E$2:$P$2, E161:P161=MIN(E161:P161))</f>
        <v>vendor7</v>
      </c>
    </row>
    <row r="162" spans="2:19">
      <c r="B162" s="152"/>
      <c r="C162" s="168" t="s">
        <v>245</v>
      </c>
      <c r="D162" s="149" t="s">
        <v>91</v>
      </c>
      <c r="E162" s="138"/>
      <c r="F162" s="138">
        <v>8.24</v>
      </c>
      <c r="G162" s="138">
        <v>6.33</v>
      </c>
      <c r="H162" s="138">
        <v>10</v>
      </c>
      <c r="I162" s="138"/>
      <c r="J162" s="138"/>
      <c r="K162" s="141">
        <v>2.8</v>
      </c>
      <c r="L162" s="138">
        <v>5</v>
      </c>
      <c r="M162" s="138">
        <v>10</v>
      </c>
      <c r="N162" s="138">
        <v>8.5</v>
      </c>
      <c r="O162" s="138">
        <v>6.5</v>
      </c>
      <c r="P162" s="138"/>
      <c r="Q162" s="88">
        <f t="shared" si="4"/>
        <v>2.8</v>
      </c>
      <c r="R162" s="19" t="str" cm="1">
        <f t="array" ref="R162">_xlfn._xlws.FILTER($E$2:$P$2, E162:P162=MIN(E162:P162))</f>
        <v>vendor7</v>
      </c>
    </row>
    <row r="163" spans="2:19">
      <c r="B163" s="152"/>
      <c r="C163" s="168" t="s">
        <v>235</v>
      </c>
      <c r="D163" s="149" t="s">
        <v>246</v>
      </c>
      <c r="E163" s="138"/>
      <c r="F163" s="138">
        <v>7.9</v>
      </c>
      <c r="G163" s="138">
        <v>5.93</v>
      </c>
      <c r="H163" s="138">
        <v>66</v>
      </c>
      <c r="I163" s="138"/>
      <c r="J163" s="138"/>
      <c r="K163" s="141">
        <v>2.7</v>
      </c>
      <c r="L163" s="138">
        <v>3</v>
      </c>
      <c r="M163" s="138">
        <v>10</v>
      </c>
      <c r="N163" s="138">
        <v>8.1999999999999993</v>
      </c>
      <c r="O163" s="138">
        <v>6.4</v>
      </c>
      <c r="P163" s="138"/>
      <c r="Q163" s="88">
        <f t="shared" si="4"/>
        <v>2.7</v>
      </c>
      <c r="R163" s="19" t="str" cm="1">
        <f t="array" ref="R163">_xlfn._xlws.FILTER($E$2:$P$2, E163:P163=MIN(E163:P163))</f>
        <v>vendor7</v>
      </c>
    </row>
    <row r="164" spans="2:19">
      <c r="B164" s="152"/>
      <c r="C164" s="168"/>
      <c r="D164" s="149" t="s">
        <v>95</v>
      </c>
      <c r="E164" s="138"/>
      <c r="F164" s="138">
        <v>6.4</v>
      </c>
      <c r="G164" s="138">
        <v>5.75</v>
      </c>
      <c r="H164" s="138"/>
      <c r="I164" s="138"/>
      <c r="J164" s="138"/>
      <c r="K164" s="141">
        <v>2.5</v>
      </c>
      <c r="L164" s="138">
        <v>3</v>
      </c>
      <c r="M164" s="138">
        <v>9.25</v>
      </c>
      <c r="N164" s="138">
        <v>8</v>
      </c>
      <c r="O164" s="138">
        <v>6</v>
      </c>
      <c r="P164" s="138"/>
      <c r="Q164" s="88">
        <f t="shared" si="4"/>
        <v>2.5</v>
      </c>
      <c r="R164" s="19" t="str" cm="1">
        <f t="array" ref="R164">_xlfn._xlws.FILTER($E$2:$P$2, E164:P164=MIN(E164:P164))</f>
        <v>vendor7</v>
      </c>
    </row>
    <row r="165" spans="2:19">
      <c r="B165" s="152"/>
      <c r="C165" s="153"/>
      <c r="D165" s="149" t="s">
        <v>247</v>
      </c>
      <c r="E165" s="138"/>
      <c r="F165" s="138">
        <v>5.64</v>
      </c>
      <c r="G165" s="138">
        <v>4.8899999999999997</v>
      </c>
      <c r="H165" s="138">
        <v>6</v>
      </c>
      <c r="I165" s="138"/>
      <c r="J165" s="138">
        <v>4</v>
      </c>
      <c r="K165" s="141">
        <v>2</v>
      </c>
      <c r="L165" s="138">
        <v>3</v>
      </c>
      <c r="M165" s="138">
        <v>8.4</v>
      </c>
      <c r="N165" s="138">
        <v>7.5</v>
      </c>
      <c r="O165" s="138">
        <v>5.8</v>
      </c>
      <c r="P165" s="138"/>
      <c r="Q165" s="88">
        <f t="shared" si="4"/>
        <v>2</v>
      </c>
      <c r="R165" s="19" t="str" cm="1">
        <f t="array" ref="R165">_xlfn._xlws.FILTER($E$2:$P$2, E165:P165=MIN(E165:P165))</f>
        <v>vendor7</v>
      </c>
    </row>
    <row r="166" spans="2:19">
      <c r="B166" s="150">
        <v>39</v>
      </c>
      <c r="C166" s="151" t="s">
        <v>248</v>
      </c>
      <c r="D166" s="149" t="s">
        <v>244</v>
      </c>
      <c r="E166" s="138"/>
      <c r="F166" s="138">
        <v>9.4</v>
      </c>
      <c r="G166" s="138">
        <v>5.75</v>
      </c>
      <c r="H166" s="138">
        <v>20</v>
      </c>
      <c r="I166" s="138"/>
      <c r="J166" s="138"/>
      <c r="K166" s="141">
        <v>4.32</v>
      </c>
      <c r="L166" s="138">
        <v>5</v>
      </c>
      <c r="M166" s="138">
        <v>39</v>
      </c>
      <c r="N166" s="138">
        <v>11</v>
      </c>
      <c r="O166" s="138">
        <v>6</v>
      </c>
      <c r="P166" s="138"/>
      <c r="Q166" s="88">
        <f t="shared" si="4"/>
        <v>4.32</v>
      </c>
      <c r="R166" s="19" t="str" cm="1">
        <f t="array" ref="R166">_xlfn._xlws.FILTER($E$2:$P$2, E166:P166=MIN(E166:P166))</f>
        <v>vendor7</v>
      </c>
    </row>
    <row r="167" spans="2:19">
      <c r="B167" s="152"/>
      <c r="C167" s="168" t="s">
        <v>245</v>
      </c>
      <c r="D167" s="149" t="s">
        <v>91</v>
      </c>
      <c r="E167" s="138"/>
      <c r="F167" s="138">
        <v>9</v>
      </c>
      <c r="G167" s="138">
        <v>5.47</v>
      </c>
      <c r="H167" s="138">
        <v>12</v>
      </c>
      <c r="I167" s="138"/>
      <c r="J167" s="138"/>
      <c r="K167" s="141">
        <v>4</v>
      </c>
      <c r="L167" s="138">
        <v>5</v>
      </c>
      <c r="M167" s="138">
        <v>16.5</v>
      </c>
      <c r="N167" s="138">
        <v>9.5</v>
      </c>
      <c r="O167" s="138">
        <v>6</v>
      </c>
      <c r="P167" s="138"/>
      <c r="Q167" s="88">
        <f t="shared" si="4"/>
        <v>4</v>
      </c>
      <c r="R167" s="19" t="str" cm="1">
        <f t="array" ref="R167">_xlfn._xlws.FILTER($E$2:$P$2, E167:P167=MIN(E167:P167))</f>
        <v>vendor7</v>
      </c>
    </row>
    <row r="168" spans="2:19">
      <c r="B168" s="152"/>
      <c r="C168" s="168" t="s">
        <v>235</v>
      </c>
      <c r="D168" s="149" t="s">
        <v>246</v>
      </c>
      <c r="E168" s="138"/>
      <c r="F168" s="138">
        <v>8.6999999999999993</v>
      </c>
      <c r="G168" s="138">
        <v>5.2</v>
      </c>
      <c r="H168" s="138">
        <v>9</v>
      </c>
      <c r="I168" s="138"/>
      <c r="J168" s="138"/>
      <c r="K168" s="141">
        <v>3.8</v>
      </c>
      <c r="L168" s="138">
        <v>5</v>
      </c>
      <c r="M168" s="138">
        <v>10.9</v>
      </c>
      <c r="N168" s="138">
        <v>8.6</v>
      </c>
      <c r="O168" s="138">
        <v>5.3</v>
      </c>
      <c r="P168" s="138"/>
      <c r="Q168" s="88">
        <f t="shared" si="4"/>
        <v>3.8</v>
      </c>
      <c r="R168" s="19" t="str" cm="1">
        <f t="array" ref="R168">_xlfn._xlws.FILTER($E$2:$P$2, E168:P168=MIN(E168:P168))</f>
        <v>vendor7</v>
      </c>
    </row>
    <row r="169" spans="2:19">
      <c r="B169" s="152"/>
      <c r="C169" s="168"/>
      <c r="D169" s="149" t="s">
        <v>95</v>
      </c>
      <c r="E169" s="138"/>
      <c r="F169" s="138">
        <v>7</v>
      </c>
      <c r="G169" s="138">
        <v>5</v>
      </c>
      <c r="H169" s="138">
        <v>9</v>
      </c>
      <c r="I169" s="138"/>
      <c r="J169" s="138"/>
      <c r="K169" s="141">
        <v>3.6</v>
      </c>
      <c r="L169" s="138">
        <v>5</v>
      </c>
      <c r="M169" s="138">
        <v>10.25</v>
      </c>
      <c r="N169" s="138">
        <v>8.3000000000000007</v>
      </c>
      <c r="O169" s="138">
        <v>5.3</v>
      </c>
      <c r="P169" s="138"/>
      <c r="Q169" s="88">
        <f t="shared" si="4"/>
        <v>3.6</v>
      </c>
      <c r="R169" s="19" t="str" cm="1">
        <f t="array" ref="R169">_xlfn._xlws.FILTER($E$2:$P$2, E169:P169=MIN(E169:P169))</f>
        <v>vendor7</v>
      </c>
    </row>
    <row r="170" spans="2:19">
      <c r="B170" s="152"/>
      <c r="C170" s="164"/>
      <c r="D170" s="149" t="s">
        <v>247</v>
      </c>
      <c r="E170" s="138"/>
      <c r="F170" s="138">
        <v>6.2</v>
      </c>
      <c r="G170" s="138">
        <v>5</v>
      </c>
      <c r="H170" s="138">
        <v>9</v>
      </c>
      <c r="I170" s="138"/>
      <c r="J170" s="138"/>
      <c r="K170" s="141">
        <v>2.9</v>
      </c>
      <c r="L170" s="138">
        <v>5</v>
      </c>
      <c r="M170" s="138">
        <v>9.85</v>
      </c>
      <c r="N170" s="138">
        <v>8</v>
      </c>
      <c r="O170" s="138">
        <v>5.3</v>
      </c>
      <c r="P170" s="138"/>
      <c r="Q170" s="88">
        <f t="shared" si="4"/>
        <v>2.9</v>
      </c>
      <c r="R170" s="19" t="str" cm="1">
        <f t="array" ref="R170">_xlfn._xlws.FILTER($E$2:$P$2, E170:P170=MIN(E170:P170))</f>
        <v>vendor7</v>
      </c>
    </row>
    <row r="171" spans="2:19">
      <c r="B171" s="150">
        <v>40</v>
      </c>
      <c r="C171" s="151" t="s">
        <v>249</v>
      </c>
      <c r="D171" s="149" t="s">
        <v>244</v>
      </c>
      <c r="E171" s="138"/>
      <c r="F171" s="138">
        <v>10.4</v>
      </c>
      <c r="G171" s="138">
        <v>10.35</v>
      </c>
      <c r="H171" s="138">
        <v>30</v>
      </c>
      <c r="I171" s="138"/>
      <c r="J171" s="138"/>
      <c r="K171" s="138">
        <v>6.75</v>
      </c>
      <c r="L171" s="141">
        <v>5</v>
      </c>
      <c r="M171" s="138">
        <v>49</v>
      </c>
      <c r="N171" s="138">
        <v>14</v>
      </c>
      <c r="O171" s="138">
        <v>10.5</v>
      </c>
      <c r="P171" s="138"/>
      <c r="Q171" s="88">
        <f t="shared" si="4"/>
        <v>5</v>
      </c>
      <c r="R171" s="19" t="str" cm="1">
        <f t="array" ref="R171">_xlfn._xlws.FILTER($E$2:$P$2, E171:P171=MIN(E171:P171))</f>
        <v>vendor8</v>
      </c>
    </row>
    <row r="172" spans="2:19">
      <c r="B172" s="152"/>
      <c r="C172" s="168" t="s">
        <v>245</v>
      </c>
      <c r="D172" s="149" t="s">
        <v>91</v>
      </c>
      <c r="E172" s="138"/>
      <c r="F172" s="138">
        <v>9.9</v>
      </c>
      <c r="G172" s="138">
        <v>10.35</v>
      </c>
      <c r="H172" s="138">
        <v>20</v>
      </c>
      <c r="I172" s="138"/>
      <c r="J172" s="138"/>
      <c r="K172" s="138">
        <v>6.3</v>
      </c>
      <c r="L172" s="141">
        <v>5</v>
      </c>
      <c r="M172" s="138">
        <v>17.899999999999999</v>
      </c>
      <c r="N172" s="138">
        <v>13</v>
      </c>
      <c r="O172" s="138">
        <v>10.5</v>
      </c>
      <c r="P172" s="138"/>
      <c r="Q172" s="88">
        <f t="shared" si="4"/>
        <v>5</v>
      </c>
      <c r="R172" s="19" t="str" cm="1">
        <f t="array" ref="R172">_xlfn._xlws.FILTER($E$2:$P$2, E172:P172=MIN(E172:P172))</f>
        <v>vendor8</v>
      </c>
    </row>
    <row r="173" spans="2:19">
      <c r="B173" s="152"/>
      <c r="C173" s="168" t="s">
        <v>235</v>
      </c>
      <c r="D173" s="149" t="s">
        <v>246</v>
      </c>
      <c r="E173" s="138"/>
      <c r="F173" s="138">
        <v>9.6</v>
      </c>
      <c r="G173" s="138">
        <v>9.7799999999999994</v>
      </c>
      <c r="H173" s="138">
        <v>13.5</v>
      </c>
      <c r="I173" s="138"/>
      <c r="J173" s="138"/>
      <c r="K173" s="138">
        <v>6</v>
      </c>
      <c r="L173" s="141">
        <v>4.5</v>
      </c>
      <c r="M173" s="138">
        <v>11.9</v>
      </c>
      <c r="N173" s="138">
        <v>12</v>
      </c>
      <c r="O173" s="138">
        <v>10</v>
      </c>
      <c r="P173" s="138"/>
      <c r="Q173" s="88">
        <f t="shared" si="4"/>
        <v>4.5</v>
      </c>
      <c r="R173" s="19" t="str" cm="1">
        <f t="array" ref="R173">_xlfn._xlws.FILTER($E$2:$P$2, E173:P173=MIN(E173:P173))</f>
        <v>vendor8</v>
      </c>
    </row>
    <row r="174" spans="2:19">
      <c r="B174" s="152"/>
      <c r="C174" s="164"/>
      <c r="D174" s="149" t="s">
        <v>95</v>
      </c>
      <c r="E174" s="138"/>
      <c r="F174" s="138">
        <v>7.7</v>
      </c>
      <c r="G174" s="138">
        <v>9.7799999999999994</v>
      </c>
      <c r="H174" s="138">
        <v>13.5</v>
      </c>
      <c r="I174" s="138"/>
      <c r="J174" s="138"/>
      <c r="K174" s="138">
        <v>5.6</v>
      </c>
      <c r="L174" s="141">
        <v>4.5</v>
      </c>
      <c r="M174" s="138">
        <v>11</v>
      </c>
      <c r="N174" s="138">
        <v>11</v>
      </c>
      <c r="O174" s="138">
        <v>10</v>
      </c>
      <c r="P174" s="138"/>
      <c r="Q174" s="88">
        <f t="shared" si="4"/>
        <v>4.5</v>
      </c>
      <c r="R174" s="19" t="str" cm="1">
        <f t="array" ref="R174">_xlfn._xlws.FILTER($E$2:$P$2, E174:P174=MIN(E174:P174))</f>
        <v>vendor8</v>
      </c>
    </row>
    <row r="175" spans="2:19">
      <c r="B175" s="152"/>
      <c r="C175" s="165"/>
      <c r="D175" s="149" t="s">
        <v>247</v>
      </c>
      <c r="E175" s="138"/>
      <c r="F175" s="138">
        <v>6.8</v>
      </c>
      <c r="G175" s="138">
        <v>8.98</v>
      </c>
      <c r="H175" s="138">
        <v>13.5</v>
      </c>
      <c r="I175" s="138"/>
      <c r="J175" s="138"/>
      <c r="K175" s="141">
        <v>4.5</v>
      </c>
      <c r="L175" s="138">
        <v>4.5</v>
      </c>
      <c r="M175" s="138">
        <v>10.55</v>
      </c>
      <c r="N175" s="138">
        <v>10</v>
      </c>
      <c r="O175" s="138">
        <v>9</v>
      </c>
      <c r="P175" s="138"/>
      <c r="Q175" s="88">
        <f t="shared" si="4"/>
        <v>4.5</v>
      </c>
      <c r="R175" s="19" t="str" cm="1">
        <f t="array" ref="R175:S175">_xlfn._xlws.FILTER($E$2:$P$2, E175:P175=MIN(E175:P175))</f>
        <v>vendor7</v>
      </c>
      <c r="S175" s="137" t="str">
        <v>vendor8</v>
      </c>
    </row>
    <row r="176" spans="2:19">
      <c r="B176" s="144">
        <v>41</v>
      </c>
      <c r="C176" s="371" t="s">
        <v>250</v>
      </c>
      <c r="D176" s="169" t="s">
        <v>251</v>
      </c>
      <c r="E176" s="138"/>
      <c r="F176" s="138">
        <v>22.4</v>
      </c>
      <c r="G176" s="138">
        <v>11.5</v>
      </c>
      <c r="H176" s="138"/>
      <c r="I176" s="138"/>
      <c r="J176" s="138"/>
      <c r="K176" s="141">
        <v>5</v>
      </c>
      <c r="L176" s="138"/>
      <c r="M176" s="138">
        <v>85</v>
      </c>
      <c r="N176" s="138">
        <v>20</v>
      </c>
      <c r="O176" s="138">
        <v>11.5</v>
      </c>
      <c r="P176" s="138"/>
      <c r="Q176" s="88">
        <f t="shared" si="4"/>
        <v>5</v>
      </c>
      <c r="R176" s="19" t="str" cm="1">
        <f t="array" ref="R176">_xlfn._xlws.FILTER($E$2:$P$2, E176:P176=MIN(E176:P176))</f>
        <v>vendor7</v>
      </c>
    </row>
    <row r="177" spans="1:18">
      <c r="B177" s="373"/>
      <c r="C177" s="372"/>
      <c r="D177" s="170" t="s">
        <v>87</v>
      </c>
      <c r="E177" s="138"/>
      <c r="F177" s="138">
        <v>19.5</v>
      </c>
      <c r="G177" s="138">
        <v>10.35</v>
      </c>
      <c r="H177" s="138"/>
      <c r="I177" s="138"/>
      <c r="J177" s="138"/>
      <c r="K177" s="141">
        <v>4.8</v>
      </c>
      <c r="L177" s="138"/>
      <c r="M177" s="138">
        <v>37</v>
      </c>
      <c r="N177" s="138">
        <v>15</v>
      </c>
      <c r="O177" s="138">
        <v>10.35</v>
      </c>
      <c r="P177" s="138"/>
      <c r="Q177" s="88">
        <f t="shared" si="4"/>
        <v>4.8</v>
      </c>
      <c r="R177" s="19" t="str" cm="1">
        <f t="array" ref="R177">_xlfn._xlws.FILTER($E$2:$P$2, E177:P177=MIN(E177:P177))</f>
        <v>vendor7</v>
      </c>
    </row>
    <row r="178" spans="1:18">
      <c r="B178" s="373"/>
      <c r="C178" s="372"/>
      <c r="D178" s="171" t="s">
        <v>244</v>
      </c>
      <c r="E178" s="138"/>
      <c r="F178" s="138">
        <v>6.1</v>
      </c>
      <c r="G178" s="138">
        <v>9.1999999999999993</v>
      </c>
      <c r="H178" s="138"/>
      <c r="I178" s="138"/>
      <c r="J178" s="138">
        <v>10</v>
      </c>
      <c r="K178" s="141">
        <v>4.5</v>
      </c>
      <c r="L178" s="138"/>
      <c r="M178" s="138">
        <v>28</v>
      </c>
      <c r="N178" s="138">
        <v>14</v>
      </c>
      <c r="O178" s="138">
        <v>9.5</v>
      </c>
      <c r="P178" s="138"/>
      <c r="Q178" s="88">
        <f t="shared" si="4"/>
        <v>4.5</v>
      </c>
      <c r="R178" s="19" t="str" cm="1">
        <f t="array" ref="R178">_xlfn._xlws.FILTER($E$2:$P$2, E178:P178=MIN(E178:P178))</f>
        <v>vendor7</v>
      </c>
    </row>
    <row r="179" spans="1:18">
      <c r="B179" s="373"/>
      <c r="C179" s="372"/>
      <c r="D179" s="171" t="s">
        <v>252</v>
      </c>
      <c r="E179" s="138"/>
      <c r="F179" s="138">
        <v>4.3499999999999996</v>
      </c>
      <c r="G179" s="138">
        <v>8.0500000000000007</v>
      </c>
      <c r="H179" s="138"/>
      <c r="I179" s="138"/>
      <c r="J179" s="138"/>
      <c r="K179" s="141">
        <v>4.2</v>
      </c>
      <c r="L179" s="138"/>
      <c r="M179" s="138">
        <v>24</v>
      </c>
      <c r="N179" s="138">
        <v>13</v>
      </c>
      <c r="O179" s="138">
        <v>8.1999999999999993</v>
      </c>
      <c r="P179" s="138"/>
      <c r="Q179" s="88">
        <f t="shared" si="4"/>
        <v>4.2</v>
      </c>
      <c r="R179" s="19" t="str" cm="1">
        <f t="array" ref="R179">_xlfn._xlws.FILTER($E$2:$P$2, E179:P179=MIN(E179:P179))</f>
        <v>vendor7</v>
      </c>
    </row>
    <row r="180" spans="1:18">
      <c r="B180" s="373"/>
      <c r="C180" s="372"/>
      <c r="D180" s="172" t="s">
        <v>253</v>
      </c>
      <c r="E180" s="138"/>
      <c r="F180" s="141">
        <v>3.08</v>
      </c>
      <c r="G180" s="138">
        <v>5.75</v>
      </c>
      <c r="H180" s="138"/>
      <c r="I180" s="138"/>
      <c r="J180" s="138"/>
      <c r="K180" s="138">
        <v>4</v>
      </c>
      <c r="L180" s="138"/>
      <c r="M180" s="138">
        <v>22</v>
      </c>
      <c r="N180" s="138">
        <v>10</v>
      </c>
      <c r="O180" s="138">
        <v>6.5</v>
      </c>
      <c r="P180" s="138"/>
      <c r="Q180" s="88">
        <f t="shared" si="4"/>
        <v>3.08</v>
      </c>
      <c r="R180" s="19" t="str" cm="1">
        <f t="array" ref="R180">_xlfn._xlws.FILTER($E$2:$P$2, E180:P180=MIN(E180:P180))</f>
        <v>vendor2</v>
      </c>
    </row>
    <row r="181" spans="1:18">
      <c r="B181" s="373"/>
      <c r="C181" s="372"/>
      <c r="D181" s="173" t="s">
        <v>254</v>
      </c>
      <c r="E181" s="138"/>
      <c r="F181" s="141">
        <v>2.74</v>
      </c>
      <c r="G181" s="138">
        <v>4.5999999999999996</v>
      </c>
      <c r="H181" s="138"/>
      <c r="I181" s="138"/>
      <c r="J181" s="138"/>
      <c r="K181" s="138">
        <v>3.8</v>
      </c>
      <c r="L181" s="138"/>
      <c r="M181" s="138">
        <v>19.5</v>
      </c>
      <c r="N181" s="138">
        <v>8</v>
      </c>
      <c r="O181" s="138">
        <v>6</v>
      </c>
      <c r="P181" s="138"/>
      <c r="Q181" s="88">
        <f t="shared" ref="Q181:Q199" si="5">MIN(E181:P181)</f>
        <v>2.74</v>
      </c>
      <c r="R181" s="19" t="str" cm="1">
        <f t="array" ref="R181">_xlfn._xlws.FILTER($E$2:$P$2, E181:P181=MIN(E181:P181))</f>
        <v>vendor2</v>
      </c>
    </row>
    <row r="182" spans="1:18">
      <c r="B182" s="373"/>
      <c r="C182" s="372"/>
      <c r="D182" s="171" t="s">
        <v>255</v>
      </c>
      <c r="E182" s="138"/>
      <c r="F182" s="141">
        <v>2.4500000000000002</v>
      </c>
      <c r="G182" s="138">
        <v>4.49</v>
      </c>
      <c r="H182" s="138"/>
      <c r="I182" s="138"/>
      <c r="J182" s="138">
        <v>4.55</v>
      </c>
      <c r="K182" s="138">
        <v>3.5</v>
      </c>
      <c r="L182" s="138"/>
      <c r="M182" s="138">
        <v>18.2</v>
      </c>
      <c r="N182" s="138">
        <v>6.5</v>
      </c>
      <c r="O182" s="138">
        <v>5</v>
      </c>
      <c r="P182" s="138"/>
      <c r="Q182" s="88">
        <f t="shared" si="5"/>
        <v>2.4500000000000002</v>
      </c>
      <c r="R182" s="19" t="str" cm="1">
        <f t="array" ref="R182">_xlfn._xlws.FILTER($E$2:$P$2, E182:P182=MIN(E182:P182))</f>
        <v>vendor2</v>
      </c>
    </row>
    <row r="183" spans="1:18" ht="32.1" customHeight="1">
      <c r="B183" s="373"/>
      <c r="C183" s="372"/>
      <c r="D183" s="142" t="s">
        <v>256</v>
      </c>
      <c r="E183" s="138"/>
      <c r="F183" s="141">
        <v>2.2000000000000002</v>
      </c>
      <c r="G183" s="138">
        <v>3.28</v>
      </c>
      <c r="H183" s="138"/>
      <c r="I183" s="138"/>
      <c r="J183" s="138"/>
      <c r="K183" s="138">
        <v>3</v>
      </c>
      <c r="L183" s="138"/>
      <c r="M183" s="138">
        <v>16.5</v>
      </c>
      <c r="N183" s="138">
        <v>5</v>
      </c>
      <c r="O183" s="138">
        <v>3.5</v>
      </c>
      <c r="P183" s="138"/>
      <c r="Q183" s="88">
        <f t="shared" si="5"/>
        <v>2.2000000000000002</v>
      </c>
      <c r="R183" s="19" t="str" cm="1">
        <f t="array" ref="R183">_xlfn._xlws.FILTER($E$2:$P$2, E183:P183=MIN(E183:P183))</f>
        <v>vendor2</v>
      </c>
    </row>
    <row r="184" spans="1:18" s="174" customFormat="1">
      <c r="A184" s="137"/>
      <c r="B184" s="144">
        <v>42</v>
      </c>
      <c r="C184" s="372" t="s">
        <v>257</v>
      </c>
      <c r="D184" s="169" t="s">
        <v>251</v>
      </c>
      <c r="E184" s="138"/>
      <c r="F184" s="138">
        <v>23.97</v>
      </c>
      <c r="G184" s="138">
        <v>11.5</v>
      </c>
      <c r="H184" s="138"/>
      <c r="I184" s="138"/>
      <c r="J184" s="138"/>
      <c r="K184" s="141">
        <v>10</v>
      </c>
      <c r="L184" s="138"/>
      <c r="M184" s="138">
        <v>95</v>
      </c>
      <c r="N184" s="138">
        <v>20</v>
      </c>
      <c r="O184" s="138">
        <v>11.5</v>
      </c>
      <c r="P184" s="138"/>
      <c r="Q184" s="88">
        <f t="shared" si="5"/>
        <v>10</v>
      </c>
      <c r="R184" s="19" t="str" cm="1">
        <f t="array" ref="R184">_xlfn._xlws.FILTER($E$2:$P$2, E184:P184=MIN(E184:P184))</f>
        <v>vendor7</v>
      </c>
    </row>
    <row r="185" spans="1:18" s="174" customFormat="1">
      <c r="A185" s="137"/>
      <c r="B185" s="373"/>
      <c r="C185" s="372"/>
      <c r="D185" s="170" t="s">
        <v>191</v>
      </c>
      <c r="E185" s="138"/>
      <c r="F185" s="138">
        <v>20.87</v>
      </c>
      <c r="G185" s="138">
        <v>10.35</v>
      </c>
      <c r="H185" s="138"/>
      <c r="I185" s="138"/>
      <c r="J185" s="138"/>
      <c r="K185" s="141">
        <v>9.6</v>
      </c>
      <c r="L185" s="138"/>
      <c r="M185" s="138">
        <v>48</v>
      </c>
      <c r="N185" s="138">
        <v>15</v>
      </c>
      <c r="O185" s="138">
        <v>11.5</v>
      </c>
      <c r="P185" s="138"/>
      <c r="Q185" s="88">
        <f t="shared" si="5"/>
        <v>9.6</v>
      </c>
      <c r="R185" s="19" t="str" cm="1">
        <f t="array" ref="R185">_xlfn._xlws.FILTER($E$2:$P$2, E185:P185=MIN(E185:P185))</f>
        <v>vendor7</v>
      </c>
    </row>
    <row r="186" spans="1:18">
      <c r="B186" s="373"/>
      <c r="C186" s="372"/>
      <c r="D186" s="171" t="s">
        <v>89</v>
      </c>
      <c r="E186" s="138"/>
      <c r="F186" s="138">
        <v>6.53</v>
      </c>
      <c r="G186" s="138">
        <v>9.1999999999999993</v>
      </c>
      <c r="H186" s="138"/>
      <c r="I186" s="138"/>
      <c r="J186" s="138"/>
      <c r="K186" s="138">
        <v>9</v>
      </c>
      <c r="L186" s="138"/>
      <c r="M186" s="138">
        <v>37</v>
      </c>
      <c r="N186" s="138">
        <v>14</v>
      </c>
      <c r="O186" s="138">
        <v>10.5</v>
      </c>
      <c r="P186" s="138"/>
      <c r="Q186" s="88">
        <f t="shared" si="5"/>
        <v>6.53</v>
      </c>
      <c r="R186" s="19" t="str" cm="1">
        <f t="array" ref="R186">_xlfn._xlws.FILTER($E$2:$P$2, E186:P186=MIN(E186:P186))</f>
        <v>vendor2</v>
      </c>
    </row>
    <row r="187" spans="1:18">
      <c r="B187" s="373"/>
      <c r="C187" s="372"/>
      <c r="D187" s="171" t="s">
        <v>91</v>
      </c>
      <c r="E187" s="138"/>
      <c r="F187" s="141">
        <v>4.6500000000000004</v>
      </c>
      <c r="G187" s="138">
        <v>8.0500000000000007</v>
      </c>
      <c r="H187" s="138"/>
      <c r="I187" s="138"/>
      <c r="J187" s="138"/>
      <c r="K187" s="138">
        <v>8.4</v>
      </c>
      <c r="L187" s="138"/>
      <c r="M187" s="138">
        <v>32</v>
      </c>
      <c r="N187" s="138">
        <v>12</v>
      </c>
      <c r="O187" s="138">
        <v>8.1</v>
      </c>
      <c r="P187" s="138"/>
      <c r="Q187" s="88">
        <f t="shared" si="5"/>
        <v>4.6500000000000004</v>
      </c>
      <c r="R187" s="19" t="str" cm="1">
        <f t="array" ref="R187">_xlfn._xlws.FILTER($E$2:$P$2, E187:P187=MIN(E187:P187))</f>
        <v>vendor2</v>
      </c>
    </row>
    <row r="188" spans="1:18">
      <c r="B188" s="373"/>
      <c r="C188" s="372"/>
      <c r="D188" s="172" t="s">
        <v>258</v>
      </c>
      <c r="E188" s="138"/>
      <c r="F188" s="141">
        <v>3.3</v>
      </c>
      <c r="G188" s="138">
        <v>5.87</v>
      </c>
      <c r="H188" s="138"/>
      <c r="I188" s="138"/>
      <c r="J188" s="138"/>
      <c r="K188" s="138">
        <v>8</v>
      </c>
      <c r="L188" s="138"/>
      <c r="M188" s="138">
        <v>29</v>
      </c>
      <c r="N188" s="138">
        <v>10</v>
      </c>
      <c r="O188" s="138">
        <v>6</v>
      </c>
      <c r="P188" s="138"/>
      <c r="Q188" s="88">
        <f t="shared" si="5"/>
        <v>3.3</v>
      </c>
      <c r="R188" s="19" t="str" cm="1">
        <f t="array" ref="R188">_xlfn._xlws.FILTER($E$2:$P$2, E188:P188=MIN(E188:P188))</f>
        <v>vendor2</v>
      </c>
    </row>
    <row r="189" spans="1:18">
      <c r="B189" s="373"/>
      <c r="C189" s="372"/>
      <c r="D189" s="173" t="s">
        <v>259</v>
      </c>
      <c r="E189" s="138"/>
      <c r="F189" s="141">
        <v>2.93</v>
      </c>
      <c r="G189" s="138">
        <v>4.72</v>
      </c>
      <c r="H189" s="138"/>
      <c r="I189" s="138"/>
      <c r="J189" s="138"/>
      <c r="K189" s="138">
        <v>7.6</v>
      </c>
      <c r="L189" s="138"/>
      <c r="M189" s="138">
        <v>24</v>
      </c>
      <c r="N189" s="138">
        <v>9</v>
      </c>
      <c r="O189" s="138">
        <v>5.8</v>
      </c>
      <c r="P189" s="138"/>
      <c r="Q189" s="88">
        <f t="shared" si="5"/>
        <v>2.93</v>
      </c>
      <c r="R189" s="19" t="str" cm="1">
        <f t="array" ref="R189">_xlfn._xlws.FILTER($E$2:$P$2, E189:P189=MIN(E189:P189))</f>
        <v>vendor2</v>
      </c>
    </row>
    <row r="190" spans="1:18">
      <c r="B190" s="373"/>
      <c r="C190" s="372"/>
      <c r="D190" s="171" t="s">
        <v>255</v>
      </c>
      <c r="E190" s="138"/>
      <c r="F190" s="141">
        <v>2.62</v>
      </c>
      <c r="G190" s="138">
        <v>4.55</v>
      </c>
      <c r="H190" s="138"/>
      <c r="I190" s="138"/>
      <c r="J190" s="138"/>
      <c r="K190" s="138">
        <v>7</v>
      </c>
      <c r="L190" s="138"/>
      <c r="M190" s="138">
        <v>22</v>
      </c>
      <c r="N190" s="138">
        <v>7.5</v>
      </c>
      <c r="O190" s="138">
        <v>5.5</v>
      </c>
      <c r="P190" s="138"/>
      <c r="Q190" s="88">
        <f t="shared" si="5"/>
        <v>2.62</v>
      </c>
      <c r="R190" s="19" t="str" cm="1">
        <f t="array" ref="R190">_xlfn._xlws.FILTER($E$2:$P$2, E190:P190=MIN(E190:P190))</f>
        <v>vendor2</v>
      </c>
    </row>
    <row r="191" spans="1:18" ht="34.5" customHeight="1">
      <c r="B191" s="375"/>
      <c r="C191" s="374"/>
      <c r="D191" s="142" t="s">
        <v>256</v>
      </c>
      <c r="E191" s="138"/>
      <c r="F191" s="141">
        <v>2.35</v>
      </c>
      <c r="G191" s="138">
        <v>3.34</v>
      </c>
      <c r="H191" s="138"/>
      <c r="I191" s="138"/>
      <c r="J191" s="138"/>
      <c r="K191" s="138">
        <v>6</v>
      </c>
      <c r="L191" s="138"/>
      <c r="M191" s="138">
        <v>19.5</v>
      </c>
      <c r="N191" s="138">
        <v>6</v>
      </c>
      <c r="O191" s="138">
        <v>3.5</v>
      </c>
      <c r="P191" s="138"/>
      <c r="Q191" s="88">
        <f t="shared" si="5"/>
        <v>2.35</v>
      </c>
      <c r="R191" s="19" t="str" cm="1">
        <f t="array" ref="R191">_xlfn._xlws.FILTER($E$2:$P$2, E191:P191=MIN(E191:P191))</f>
        <v>vendor2</v>
      </c>
    </row>
    <row r="192" spans="1:18" s="174" customFormat="1">
      <c r="A192" s="137"/>
      <c r="B192" s="368">
        <v>43</v>
      </c>
      <c r="C192" s="331" t="s">
        <v>260</v>
      </c>
      <c r="D192" s="169" t="s">
        <v>251</v>
      </c>
      <c r="E192" s="138"/>
      <c r="F192" s="138">
        <v>25.16</v>
      </c>
      <c r="G192" s="138">
        <v>17.25</v>
      </c>
      <c r="H192" s="138"/>
      <c r="I192" s="138"/>
      <c r="J192" s="138"/>
      <c r="K192" s="141">
        <v>11</v>
      </c>
      <c r="L192" s="138"/>
      <c r="M192" s="138">
        <v>125</v>
      </c>
      <c r="N192" s="138">
        <v>25</v>
      </c>
      <c r="O192" s="138">
        <v>17.5</v>
      </c>
      <c r="P192" s="138"/>
      <c r="Q192" s="88">
        <f t="shared" si="5"/>
        <v>11</v>
      </c>
      <c r="R192" s="19" t="str" cm="1">
        <f t="array" ref="R192">_xlfn._xlws.FILTER($E$2:$P$2, E192:P192=MIN(E192:P192))</f>
        <v>vendor7</v>
      </c>
    </row>
    <row r="193" spans="1:18" s="174" customFormat="1">
      <c r="A193" s="137"/>
      <c r="B193" s="373"/>
      <c r="C193" s="311"/>
      <c r="D193" s="170" t="s">
        <v>191</v>
      </c>
      <c r="E193" s="138"/>
      <c r="F193" s="138">
        <v>21.9</v>
      </c>
      <c r="G193" s="138">
        <v>13.8</v>
      </c>
      <c r="H193" s="138"/>
      <c r="I193" s="138"/>
      <c r="J193" s="138"/>
      <c r="K193" s="141">
        <v>10.5</v>
      </c>
      <c r="L193" s="138"/>
      <c r="M193" s="138">
        <v>57</v>
      </c>
      <c r="N193" s="138">
        <v>20</v>
      </c>
      <c r="O193" s="138">
        <v>14</v>
      </c>
      <c r="P193" s="138"/>
      <c r="Q193" s="88">
        <f t="shared" si="5"/>
        <v>10.5</v>
      </c>
      <c r="R193" s="19" t="str" cm="1">
        <f t="array" ref="R193">_xlfn._xlws.FILTER($E$2:$P$2, E193:P193=MIN(E193:P193))</f>
        <v>vendor7</v>
      </c>
    </row>
    <row r="194" spans="1:18">
      <c r="B194" s="373"/>
      <c r="C194" s="311"/>
      <c r="D194" s="171" t="s">
        <v>89</v>
      </c>
      <c r="E194" s="138"/>
      <c r="F194" s="141">
        <v>6.85</v>
      </c>
      <c r="G194" s="138">
        <v>9.0299999999999994</v>
      </c>
      <c r="H194" s="138"/>
      <c r="I194" s="138"/>
      <c r="J194" s="138"/>
      <c r="K194" s="138">
        <v>10</v>
      </c>
      <c r="L194" s="138"/>
      <c r="M194" s="138">
        <v>45</v>
      </c>
      <c r="N194" s="138">
        <v>15</v>
      </c>
      <c r="O194" s="138">
        <v>9.1999999999999993</v>
      </c>
      <c r="P194" s="138"/>
      <c r="Q194" s="88">
        <f t="shared" si="5"/>
        <v>6.85</v>
      </c>
      <c r="R194" s="19" t="str" cm="1">
        <f t="array" ref="R194">_xlfn._xlws.FILTER($E$2:$P$2, E194:P194=MIN(E194:P194))</f>
        <v>vendor2</v>
      </c>
    </row>
    <row r="195" spans="1:18">
      <c r="B195" s="373"/>
      <c r="C195" s="311"/>
      <c r="D195" s="171" t="s">
        <v>91</v>
      </c>
      <c r="E195" s="138"/>
      <c r="F195" s="141">
        <v>4.88</v>
      </c>
      <c r="G195" s="138">
        <v>5.75</v>
      </c>
      <c r="H195" s="138"/>
      <c r="I195" s="138"/>
      <c r="J195" s="138"/>
      <c r="K195" s="138">
        <v>9.5</v>
      </c>
      <c r="L195" s="138"/>
      <c r="M195" s="138">
        <v>36</v>
      </c>
      <c r="N195" s="138">
        <v>11</v>
      </c>
      <c r="O195" s="138">
        <v>6.5</v>
      </c>
      <c r="P195" s="138"/>
      <c r="Q195" s="88">
        <f t="shared" si="5"/>
        <v>4.88</v>
      </c>
      <c r="R195" s="19" t="str" cm="1">
        <f t="array" ref="R195">_xlfn._xlws.FILTER($E$2:$P$2, E195:P195=MIN(E195:P195))</f>
        <v>vendor2</v>
      </c>
    </row>
    <row r="196" spans="1:18">
      <c r="B196" s="373"/>
      <c r="C196" s="311"/>
      <c r="D196" s="172" t="s">
        <v>253</v>
      </c>
      <c r="E196" s="138"/>
      <c r="F196" s="141">
        <v>3.46</v>
      </c>
      <c r="G196" s="138">
        <v>4.8899999999999997</v>
      </c>
      <c r="H196" s="138"/>
      <c r="I196" s="138"/>
      <c r="J196" s="138"/>
      <c r="K196" s="138">
        <v>9</v>
      </c>
      <c r="L196" s="138"/>
      <c r="M196" s="138">
        <v>33</v>
      </c>
      <c r="N196" s="138">
        <v>9</v>
      </c>
      <c r="O196" s="138">
        <v>5</v>
      </c>
      <c r="P196" s="138"/>
      <c r="Q196" s="88">
        <f t="shared" si="5"/>
        <v>3.46</v>
      </c>
      <c r="R196" s="19" t="str" cm="1">
        <f t="array" ref="R196">_xlfn._xlws.FILTER($E$2:$P$2, E196:P196=MIN(E196:P196))</f>
        <v>vendor2</v>
      </c>
    </row>
    <row r="197" spans="1:18">
      <c r="B197" s="373"/>
      <c r="C197" s="311"/>
      <c r="D197" s="172" t="s">
        <v>99</v>
      </c>
      <c r="E197" s="138"/>
      <c r="F197" s="141">
        <v>3.3</v>
      </c>
      <c r="G197" s="138">
        <v>4.8899999999999997</v>
      </c>
      <c r="H197" s="138"/>
      <c r="I197" s="138"/>
      <c r="J197" s="138"/>
      <c r="K197" s="138">
        <v>8.5</v>
      </c>
      <c r="L197" s="138"/>
      <c r="M197" s="138">
        <v>29.5</v>
      </c>
      <c r="N197" s="138">
        <v>8.5</v>
      </c>
      <c r="O197" s="138">
        <v>4.9000000000000004</v>
      </c>
      <c r="P197" s="138"/>
      <c r="Q197" s="88">
        <f t="shared" si="5"/>
        <v>3.3</v>
      </c>
      <c r="R197" s="19" t="str" cm="1">
        <f t="array" ref="R197">_xlfn._xlws.FILTER($E$2:$P$2, E197:P197=MIN(E197:P197))</f>
        <v>vendor2</v>
      </c>
    </row>
    <row r="198" spans="1:18">
      <c r="B198" s="373"/>
      <c r="C198" s="311"/>
      <c r="D198" s="171" t="s">
        <v>255</v>
      </c>
      <c r="E198" s="138"/>
      <c r="F198" s="141">
        <v>2.75</v>
      </c>
      <c r="G198" s="138">
        <v>4.59</v>
      </c>
      <c r="H198" s="138">
        <v>4.5</v>
      </c>
      <c r="I198" s="138"/>
      <c r="J198" s="138"/>
      <c r="K198" s="138">
        <v>8</v>
      </c>
      <c r="L198" s="138"/>
      <c r="M198" s="138">
        <v>26.3</v>
      </c>
      <c r="N198" s="138">
        <v>8</v>
      </c>
      <c r="O198" s="138">
        <v>4.8</v>
      </c>
      <c r="P198" s="138"/>
      <c r="Q198" s="88">
        <f t="shared" si="5"/>
        <v>2.75</v>
      </c>
      <c r="R198" s="19" t="str" cm="1">
        <f t="array" ref="R198">_xlfn._xlws.FILTER($E$2:$P$2, E198:P198=MIN(E198:P198))</f>
        <v>vendor2</v>
      </c>
    </row>
    <row r="199" spans="1:18">
      <c r="B199" s="375"/>
      <c r="C199" s="161"/>
      <c r="D199" s="142" t="s">
        <v>261</v>
      </c>
      <c r="E199" s="138"/>
      <c r="F199" s="141">
        <v>2.46</v>
      </c>
      <c r="G199" s="138">
        <v>3.63</v>
      </c>
      <c r="H199" s="138">
        <v>2.5</v>
      </c>
      <c r="I199" s="138"/>
      <c r="J199" s="138"/>
      <c r="K199" s="138">
        <v>7</v>
      </c>
      <c r="L199" s="138"/>
      <c r="M199" s="138">
        <v>23.5</v>
      </c>
      <c r="N199" s="138">
        <v>7</v>
      </c>
      <c r="O199" s="138">
        <v>4</v>
      </c>
      <c r="P199" s="138"/>
      <c r="Q199" s="88">
        <f t="shared" si="5"/>
        <v>2.46</v>
      </c>
      <c r="R199" s="19" t="str" cm="1">
        <f t="array" ref="R199">_xlfn._xlws.FILTER($E$2:$P$2, E199:P199=MIN(E199:P199))</f>
        <v>vendor2</v>
      </c>
    </row>
    <row r="200" spans="1:18">
      <c r="C200" s="137" t="s">
        <v>80</v>
      </c>
    </row>
    <row r="201" spans="1:18">
      <c r="C201" s="137" t="s">
        <v>81</v>
      </c>
    </row>
    <row r="213" spans="18:18">
      <c r="R213" s="137" t="e" cm="1">
        <f t="array" ref="R213">_xlfn._xlws.FILTER(#REF!, E213:P213=MIN(E213:P213))</f>
        <v>#REF!</v>
      </c>
    </row>
    <row r="214" spans="18:18">
      <c r="R214" s="137" t="e" cm="1">
        <f t="array" ref="R214">_xlfn._xlws.FILTER(#REF!, E214:P214=MIN(E214:P214))</f>
        <v>#REF!</v>
      </c>
    </row>
    <row r="215" spans="18:18">
      <c r="R215" s="137" t="e" cm="1">
        <f t="array" ref="R215">_xlfn._xlws.FILTER(#REF!, E215:P215=MIN(E215:P215))</f>
        <v>#REF!</v>
      </c>
    </row>
    <row r="216" spans="18:18">
      <c r="R216" s="137" t="e" cm="1">
        <f t="array" ref="R216">_xlfn._xlws.FILTER(#REF!, E216:P216=MIN(E216:P216))</f>
        <v>#REF!</v>
      </c>
    </row>
    <row r="217" spans="18:18">
      <c r="R217" s="137" t="e" cm="1">
        <f t="array" ref="R217">_xlfn._xlws.FILTER(#REF!, E217:P217=MIN(E217:P217))</f>
        <v>#REF!</v>
      </c>
    </row>
    <row r="218" spans="18:18">
      <c r="R218" s="137" t="e" cm="1">
        <f t="array" ref="R218">_xlfn._xlws.FILTER(#REF!, E218:P218=MIN(E218:P218))</f>
        <v>#REF!</v>
      </c>
    </row>
    <row r="219" spans="18:18">
      <c r="R219" s="137" t="e" cm="1">
        <f t="array" ref="R219">_xlfn._xlws.FILTER(#REF!, E219:P219=MIN(E219:P219))</f>
        <v>#REF!</v>
      </c>
    </row>
    <row r="220" spans="18:18">
      <c r="R220" s="137" t="e" cm="1">
        <f t="array" ref="R220">_xlfn._xlws.FILTER(#REF!, E220:P220=MIN(E220:P220))</f>
        <v>#REF!</v>
      </c>
    </row>
    <row r="221" spans="18:18">
      <c r="R221" s="137" t="e" cm="1">
        <f t="array" ref="R221">_xlfn._xlws.FILTER(#REF!, E221:P221=MIN(E221:P221))</f>
        <v>#REF!</v>
      </c>
    </row>
    <row r="222" spans="18:18">
      <c r="R222" s="137" t="e" cm="1">
        <f t="array" ref="R222">_xlfn._xlws.FILTER(#REF!, E222:P222=MIN(E222:P222))</f>
        <v>#REF!</v>
      </c>
    </row>
    <row r="223" spans="18:18">
      <c r="R223" s="137" t="e" cm="1">
        <f t="array" ref="R223">_xlfn._xlws.FILTER(#REF!, E223:P223=MIN(E223:P223))</f>
        <v>#REF!</v>
      </c>
    </row>
    <row r="224" spans="18:18">
      <c r="R224" s="137" t="e" cm="1">
        <f t="array" ref="R224">_xlfn._xlws.FILTER(#REF!, E224:P224=MIN(E224:P224))</f>
        <v>#REF!</v>
      </c>
    </row>
    <row r="225" spans="18:18">
      <c r="R225" s="137" t="e" cm="1">
        <f t="array" ref="R225">_xlfn._xlws.FILTER(#REF!, E225:P225=MIN(E225:P225))</f>
        <v>#REF!</v>
      </c>
    </row>
    <row r="226" spans="18:18">
      <c r="R226" s="137" t="e" cm="1">
        <f t="array" ref="R226">_xlfn._xlws.FILTER(#REF!, E226:P226=MIN(E226:P226))</f>
        <v>#REF!</v>
      </c>
    </row>
    <row r="227" spans="18:18">
      <c r="R227" s="137" t="e" cm="1">
        <f t="array" ref="R227">_xlfn._xlws.FILTER(#REF!, E227:P227=MIN(E227:P227))</f>
        <v>#REF!</v>
      </c>
    </row>
    <row r="228" spans="18:18">
      <c r="R228" s="137" t="e" cm="1">
        <f t="array" ref="R228">_xlfn._xlws.FILTER(#REF!, E228:P228=MIN(E228:P228))</f>
        <v>#REF!</v>
      </c>
    </row>
    <row r="229" spans="18:18">
      <c r="R229" s="137" t="e" cm="1">
        <f t="array" ref="R229">_xlfn._xlws.FILTER(#REF!, E229:P229=MIN(E229:P229))</f>
        <v>#REF!</v>
      </c>
    </row>
    <row r="230" spans="18:18">
      <c r="R230" s="137" t="e" cm="1">
        <f t="array" ref="R230">_xlfn._xlws.FILTER(#REF!, E230:P230=MIN(E230:P230))</f>
        <v>#REF!</v>
      </c>
    </row>
    <row r="231" spans="18:18">
      <c r="R231" s="137" t="e" cm="1">
        <f t="array" ref="R231">_xlfn._xlws.FILTER(#REF!, E231:P231=MIN(E231:P231))</f>
        <v>#REF!</v>
      </c>
    </row>
    <row r="232" spans="18:18">
      <c r="R232" s="137" t="e" cm="1">
        <f t="array" ref="R232">_xlfn._xlws.FILTER(#REF!, E232:P232=MIN(E232:P232))</f>
        <v>#REF!</v>
      </c>
    </row>
    <row r="233" spans="18:18">
      <c r="R233" s="137" t="e" cm="1">
        <f t="array" ref="R233">_xlfn._xlws.FILTER(#REF!, E233:P233=MIN(E233:P233))</f>
        <v>#REF!</v>
      </c>
    </row>
    <row r="234" spans="18:18">
      <c r="R234" s="137" t="e" cm="1">
        <f t="array" ref="R234">_xlfn._xlws.FILTER(#REF!, E234:P234=MIN(E234:P234))</f>
        <v>#REF!</v>
      </c>
    </row>
    <row r="235" spans="18:18">
      <c r="R235" s="137" t="e" cm="1">
        <f t="array" ref="R235">_xlfn._xlws.FILTER(#REF!, E235:P235=MIN(E235:P235))</f>
        <v>#REF!</v>
      </c>
    </row>
    <row r="236" spans="18:18">
      <c r="R236" s="137" t="e" cm="1">
        <f t="array" ref="R236">_xlfn._xlws.FILTER(#REF!, E236:P236=MIN(E236:P236))</f>
        <v>#REF!</v>
      </c>
    </row>
    <row r="237" spans="18:18">
      <c r="R237" s="137" t="e" cm="1">
        <f t="array" ref="R237">_xlfn._xlws.FILTER(#REF!, E237:P237=MIN(E237:P237))</f>
        <v>#REF!</v>
      </c>
    </row>
    <row r="238" spans="18:18">
      <c r="R238" s="137" t="e" cm="1">
        <f t="array" ref="R238">_xlfn._xlws.FILTER(#REF!, E238:P238=MIN(E238:P238))</f>
        <v>#REF!</v>
      </c>
    </row>
    <row r="239" spans="18:18">
      <c r="R239" s="137" t="e" cm="1">
        <f t="array" ref="R239">_xlfn._xlws.FILTER(#REF!, E239:P239=MIN(E239:P239))</f>
        <v>#REF!</v>
      </c>
    </row>
    <row r="240" spans="18:18">
      <c r="R240" s="137" t="e" cm="1">
        <f t="array" ref="R240">_xlfn._xlws.FILTER(#REF!, E240:P240=MIN(E240:P240))</f>
        <v>#REF!</v>
      </c>
    </row>
    <row r="241" spans="18:18">
      <c r="R241" s="137" t="e" cm="1">
        <f t="array" ref="R241">_xlfn._xlws.FILTER(#REF!, E241:P241=MIN(E241:P241))</f>
        <v>#REF!</v>
      </c>
    </row>
    <row r="242" spans="18:18">
      <c r="R242" s="137" t="e" cm="1">
        <f t="array" ref="R242">_xlfn._xlws.FILTER(#REF!, E242:P242=MIN(E242:P242))</f>
        <v>#REF!</v>
      </c>
    </row>
    <row r="243" spans="18:18">
      <c r="R243" s="137" t="e" cm="1">
        <f t="array" ref="R243">_xlfn._xlws.FILTER(#REF!, E243:P243=MIN(E243:P243))</f>
        <v>#REF!</v>
      </c>
    </row>
    <row r="244" spans="18:18">
      <c r="R244" s="137" t="e" cm="1">
        <f t="array" ref="R244">_xlfn._xlws.FILTER(#REF!, E244:P244=MIN(E244:P244))</f>
        <v>#REF!</v>
      </c>
    </row>
    <row r="245" spans="18:18">
      <c r="R245" s="137" t="e" cm="1">
        <f t="array" ref="R245">_xlfn._xlws.FILTER(#REF!, E245:P245=MIN(E245:P245))</f>
        <v>#REF!</v>
      </c>
    </row>
    <row r="246" spans="18:18">
      <c r="R246" s="137" t="e" cm="1">
        <f t="array" ref="R246">_xlfn._xlws.FILTER(#REF!, E246:P246=MIN(E246:P246))</f>
        <v>#REF!</v>
      </c>
    </row>
    <row r="247" spans="18:18">
      <c r="R247" s="137" t="e" cm="1">
        <f t="array" ref="R247">_xlfn._xlws.FILTER(#REF!, E247:P247=MIN(E247:P247))</f>
        <v>#REF!</v>
      </c>
    </row>
    <row r="248" spans="18:18">
      <c r="R248" s="137" t="e" cm="1">
        <f t="array" ref="R248">_xlfn._xlws.FILTER(#REF!, E248:P248=MIN(E248:P248))</f>
        <v>#REF!</v>
      </c>
    </row>
    <row r="249" spans="18:18">
      <c r="R249" s="137" t="e" cm="1">
        <f t="array" ref="R249">_xlfn._xlws.FILTER(#REF!, E249:P249=MIN(E249:P249))</f>
        <v>#REF!</v>
      </c>
    </row>
    <row r="250" spans="18:18">
      <c r="R250" s="137" t="e" cm="1">
        <f t="array" ref="R250">_xlfn._xlws.FILTER(#REF!, E250:P250=MIN(E250:P250))</f>
        <v>#REF!</v>
      </c>
    </row>
    <row r="251" spans="18:18">
      <c r="R251" s="137" t="e" cm="1">
        <f t="array" ref="R251">_xlfn._xlws.FILTER(#REF!, E251:P251=MIN(E251:P251))</f>
        <v>#REF!</v>
      </c>
    </row>
    <row r="252" spans="18:18">
      <c r="R252" s="137" t="e" cm="1">
        <f t="array" ref="R252">_xlfn._xlws.FILTER(#REF!, E252:P252=MIN(E252:P252))</f>
        <v>#REF!</v>
      </c>
    </row>
    <row r="253" spans="18:18">
      <c r="R253" s="137" t="e" cm="1">
        <f t="array" ref="R253">_xlfn._xlws.FILTER(#REF!, E253:P253=MIN(E253:P253))</f>
        <v>#REF!</v>
      </c>
    </row>
    <row r="254" spans="18:18">
      <c r="R254" s="137" t="e" cm="1">
        <f t="array" ref="R254">_xlfn._xlws.FILTER(#REF!, E254:P254=MIN(E254:P254))</f>
        <v>#REF!</v>
      </c>
    </row>
    <row r="255" spans="18:18">
      <c r="R255" s="137" t="e" cm="1">
        <f t="array" ref="R255">_xlfn._xlws.FILTER(#REF!, E255:P255=MIN(E255:P255))</f>
        <v>#REF!</v>
      </c>
    </row>
    <row r="256" spans="18:18">
      <c r="R256" s="137" t="e" cm="1">
        <f t="array" ref="R256">_xlfn._xlws.FILTER(#REF!, E256:P256=MIN(E256:P256))</f>
        <v>#REF!</v>
      </c>
    </row>
    <row r="257" spans="18:18">
      <c r="R257" s="137" t="e" cm="1">
        <f t="array" ref="R257">_xlfn._xlws.FILTER(#REF!, E257:P257=MIN(E257:P257))</f>
        <v>#REF!</v>
      </c>
    </row>
    <row r="258" spans="18:18">
      <c r="R258" s="137" t="e" cm="1">
        <f t="array" ref="R258">_xlfn._xlws.FILTER(#REF!, E258:P258=MIN(E258:P258))</f>
        <v>#REF!</v>
      </c>
    </row>
    <row r="259" spans="18:18">
      <c r="R259" s="137" t="e" cm="1">
        <f t="array" ref="R259">_xlfn._xlws.FILTER(#REF!, E259:P259=MIN(E259:P259))</f>
        <v>#REF!</v>
      </c>
    </row>
    <row r="260" spans="18:18">
      <c r="R260" s="137" t="e" cm="1">
        <f t="array" ref="R260">_xlfn._xlws.FILTER(#REF!, E260:P260=MIN(E260:P260))</f>
        <v>#REF!</v>
      </c>
    </row>
    <row r="261" spans="18:18">
      <c r="R261" s="137" t="e" cm="1">
        <f t="array" ref="R261">_xlfn._xlws.FILTER(#REF!, E261:P261=MIN(E261:P261))</f>
        <v>#REF!</v>
      </c>
    </row>
    <row r="262" spans="18:18">
      <c r="R262" s="137" t="e" cm="1">
        <f t="array" ref="R262">_xlfn._xlws.FILTER(#REF!, E262:P262=MIN(E262:P262))</f>
        <v>#REF!</v>
      </c>
    </row>
    <row r="263" spans="18:18">
      <c r="R263" s="137" t="e" cm="1">
        <f t="array" ref="R263">_xlfn._xlws.FILTER(#REF!, E263:P263=MIN(E263:P263))</f>
        <v>#REF!</v>
      </c>
    </row>
    <row r="264" spans="18:18">
      <c r="R264" s="137" t="e" cm="1">
        <f t="array" ref="R264">_xlfn._xlws.FILTER(#REF!, E264:P264=MIN(E264:P264))</f>
        <v>#REF!</v>
      </c>
    </row>
    <row r="265" spans="18:18">
      <c r="R265" s="137" t="e" cm="1">
        <f t="array" ref="R265">_xlfn._xlws.FILTER(#REF!, E265:P265=MIN(E265:P265))</f>
        <v>#REF!</v>
      </c>
    </row>
    <row r="266" spans="18:18">
      <c r="R266" s="137" t="e" cm="1">
        <f t="array" ref="R266">_xlfn._xlws.FILTER(#REF!, E266:P266=MIN(E266:P266))</f>
        <v>#REF!</v>
      </c>
    </row>
    <row r="267" spans="18:18">
      <c r="R267" s="137" t="e" cm="1">
        <f t="array" ref="R267">_xlfn._xlws.FILTER(#REF!, E267:P267=MIN(E267:P267))</f>
        <v>#REF!</v>
      </c>
    </row>
    <row r="268" spans="18:18">
      <c r="R268" s="137" t="e" cm="1">
        <f t="array" ref="R268">_xlfn._xlws.FILTER(#REF!, E268:P268=MIN(E268:P268))</f>
        <v>#REF!</v>
      </c>
    </row>
    <row r="269" spans="18:18">
      <c r="R269" s="137" t="e" cm="1">
        <f t="array" ref="R269">_xlfn._xlws.FILTER(#REF!, E269:P269=MIN(E269:P269))</f>
        <v>#REF!</v>
      </c>
    </row>
    <row r="270" spans="18:18">
      <c r="R270" s="137" t="e" cm="1">
        <f t="array" ref="R270">_xlfn._xlws.FILTER(#REF!, E270:P270=MIN(E270:P270))</f>
        <v>#REF!</v>
      </c>
    </row>
    <row r="271" spans="18:18">
      <c r="R271" s="137" t="e" cm="1">
        <f t="array" ref="R271">_xlfn._xlws.FILTER(#REF!, E271:P271=MIN(E271:P271))</f>
        <v>#REF!</v>
      </c>
    </row>
    <row r="272" spans="18:18">
      <c r="R272" s="137" t="e" cm="1">
        <f t="array" ref="R272">_xlfn._xlws.FILTER(#REF!, E272:P272=MIN(E272:P272))</f>
        <v>#REF!</v>
      </c>
    </row>
    <row r="273" spans="18:18">
      <c r="R273" s="137" t="e" cm="1">
        <f t="array" ref="R273">_xlfn._xlws.FILTER(#REF!, E273:P273=MIN(E273:P273))</f>
        <v>#REF!</v>
      </c>
    </row>
    <row r="274" spans="18:18">
      <c r="R274" s="137" t="e" cm="1">
        <f t="array" ref="R274">_xlfn._xlws.FILTER(#REF!, E274:P274=MIN(E274:P274))</f>
        <v>#REF!</v>
      </c>
    </row>
    <row r="275" spans="18:18">
      <c r="R275" s="137" t="e" cm="1">
        <f t="array" ref="R275">_xlfn._xlws.FILTER(#REF!, E275:P275=MIN(E275:P275))</f>
        <v>#REF!</v>
      </c>
    </row>
    <row r="276" spans="18:18">
      <c r="R276" s="137" t="e" cm="1">
        <f t="array" ref="R276">_xlfn._xlws.FILTER(#REF!, E276:P276=MIN(E276:P276))</f>
        <v>#REF!</v>
      </c>
    </row>
    <row r="277" spans="18:18">
      <c r="R277" s="137" t="e" cm="1">
        <f t="array" ref="R277">_xlfn._xlws.FILTER(#REF!, E277:P277=MIN(E277:P277))</f>
        <v>#REF!</v>
      </c>
    </row>
    <row r="278" spans="18:18">
      <c r="R278" s="137" t="e" cm="1">
        <f t="array" ref="R278">_xlfn._xlws.FILTER(#REF!, E278:P278=MIN(E278:P278))</f>
        <v>#REF!</v>
      </c>
    </row>
    <row r="279" spans="18:18">
      <c r="R279" s="137" t="e" cm="1">
        <f t="array" ref="R279">_xlfn._xlws.FILTER(#REF!, E279:P279=MIN(E279:P279))</f>
        <v>#REF!</v>
      </c>
    </row>
    <row r="280" spans="18:18">
      <c r="R280" s="137" t="e" cm="1">
        <f t="array" ref="R280">_xlfn._xlws.FILTER(#REF!, E280:P280=MIN(E280:P280))</f>
        <v>#REF!</v>
      </c>
    </row>
    <row r="281" spans="18:18">
      <c r="R281" s="137" t="e" cm="1">
        <f t="array" ref="R281">_xlfn._xlws.FILTER(#REF!, E281:P281=MIN(E281:P281))</f>
        <v>#REF!</v>
      </c>
    </row>
    <row r="282" spans="18:18">
      <c r="R282" s="137" t="e" cm="1">
        <f t="array" ref="R282">_xlfn._xlws.FILTER(#REF!, E282:P282=MIN(E282:P282))</f>
        <v>#REF!</v>
      </c>
    </row>
    <row r="283" spans="18:18">
      <c r="R283" s="137" t="e" cm="1">
        <f t="array" ref="R283">_xlfn._xlws.FILTER(#REF!, E283:P283=MIN(E283:P283))</f>
        <v>#REF!</v>
      </c>
    </row>
    <row r="284" spans="18:18">
      <c r="R284" s="137" t="e" cm="1">
        <f t="array" ref="R284">_xlfn._xlws.FILTER(#REF!, E284:P284=MIN(E284:P284))</f>
        <v>#REF!</v>
      </c>
    </row>
    <row r="285" spans="18:18">
      <c r="R285" s="137" t="e" cm="1">
        <f t="array" ref="R285">_xlfn._xlws.FILTER(#REF!, E285:P285=MIN(E285:P285))</f>
        <v>#REF!</v>
      </c>
    </row>
    <row r="286" spans="18:18">
      <c r="R286" s="137" t="e" cm="1">
        <f t="array" ref="R286">_xlfn._xlws.FILTER(#REF!, E286:P286=MIN(E286:P286))</f>
        <v>#REF!</v>
      </c>
    </row>
    <row r="287" spans="18:18">
      <c r="R287" s="137" t="e" cm="1">
        <f t="array" ref="R287">_xlfn._xlws.FILTER(#REF!, E287:P287=MIN(E287:P287))</f>
        <v>#REF!</v>
      </c>
    </row>
    <row r="288" spans="18:18">
      <c r="R288" s="137" t="e" cm="1">
        <f t="array" ref="R288">_xlfn._xlws.FILTER(#REF!, E288:P288=MIN(E288:P288))</f>
        <v>#REF!</v>
      </c>
    </row>
    <row r="289" spans="18:18">
      <c r="R289" s="137" t="e" cm="1">
        <f t="array" ref="R289">_xlfn._xlws.FILTER(#REF!, E289:P289=MIN(E289:P289))</f>
        <v>#REF!</v>
      </c>
    </row>
    <row r="290" spans="18:18">
      <c r="R290" s="137" t="e" cm="1">
        <f t="array" ref="R290">_xlfn._xlws.FILTER(#REF!, E290:P290=MIN(E290:P290))</f>
        <v>#REF!</v>
      </c>
    </row>
    <row r="291" spans="18:18">
      <c r="R291" s="137" t="e" cm="1">
        <f t="array" ref="R291">_xlfn._xlws.FILTER(#REF!, E291:P291=MIN(E291:P291))</f>
        <v>#REF!</v>
      </c>
    </row>
    <row r="292" spans="18:18">
      <c r="R292" s="137" t="e" cm="1">
        <f t="array" ref="R292">_xlfn._xlws.FILTER(#REF!, E292:P292=MIN(E292:P292))</f>
        <v>#REF!</v>
      </c>
    </row>
    <row r="293" spans="18:18">
      <c r="R293" s="137" t="e" cm="1">
        <f t="array" ref="R293">_xlfn._xlws.FILTER(#REF!, E293:P293=MIN(E293:P293))</f>
        <v>#REF!</v>
      </c>
    </row>
    <row r="294" spans="18:18">
      <c r="R294" s="137" t="e" cm="1">
        <f t="array" ref="R294">_xlfn._xlws.FILTER(#REF!, E294:P294=MIN(E294:P294))</f>
        <v>#REF!</v>
      </c>
    </row>
    <row r="295" spans="18:18">
      <c r="R295" s="137" t="e" cm="1">
        <f t="array" ref="R295">_xlfn._xlws.FILTER(#REF!, E295:P295=MIN(E295:P295))</f>
        <v>#REF!</v>
      </c>
    </row>
    <row r="296" spans="18:18">
      <c r="R296" s="137" t="e" cm="1">
        <f t="array" ref="R296">_xlfn._xlws.FILTER(#REF!, E296:P296=MIN(E296:P296))</f>
        <v>#REF!</v>
      </c>
    </row>
    <row r="297" spans="18:18">
      <c r="R297" s="137" t="e" cm="1">
        <f t="array" ref="R297">_xlfn._xlws.FILTER(#REF!, E297:P297=MIN(E297:P297))</f>
        <v>#REF!</v>
      </c>
    </row>
    <row r="298" spans="18:18">
      <c r="R298" s="137" t="e" cm="1">
        <f t="array" ref="R298">_xlfn._xlws.FILTER(#REF!, E298:P298=MIN(E298:P298))</f>
        <v>#REF!</v>
      </c>
    </row>
    <row r="299" spans="18:18">
      <c r="R299" s="137" t="e" cm="1">
        <f t="array" ref="R299">_xlfn._xlws.FILTER(#REF!, E299:P299=MIN(E299:P299))</f>
        <v>#REF!</v>
      </c>
    </row>
    <row r="300" spans="18:18">
      <c r="R300" s="137" t="e" cm="1">
        <f t="array" ref="R300">_xlfn._xlws.FILTER(#REF!, E300:P300=MIN(E300:P300))</f>
        <v>#REF!</v>
      </c>
    </row>
    <row r="301" spans="18:18">
      <c r="R301" s="137" t="e" cm="1">
        <f t="array" ref="R301">_xlfn._xlws.FILTER(#REF!, E301:P301=MIN(E301:P301))</f>
        <v>#REF!</v>
      </c>
    </row>
    <row r="302" spans="18:18">
      <c r="R302" s="137" t="e" cm="1">
        <f t="array" ref="R302">_xlfn._xlws.FILTER(#REF!, E302:P302=MIN(E302:P302))</f>
        <v>#REF!</v>
      </c>
    </row>
    <row r="303" spans="18:18">
      <c r="R303" s="137" t="e" cm="1">
        <f t="array" ref="R303">_xlfn._xlws.FILTER(#REF!, E303:P303=MIN(E303:P303))</f>
        <v>#REF!</v>
      </c>
    </row>
    <row r="304" spans="18:18">
      <c r="R304" s="137" t="e" cm="1">
        <f t="array" ref="R304">_xlfn._xlws.FILTER(#REF!, E304:P304=MIN(E304:P304))</f>
        <v>#REF!</v>
      </c>
    </row>
    <row r="305" spans="18:18">
      <c r="R305" s="137" t="e" cm="1">
        <f t="array" ref="R305">_xlfn._xlws.FILTER(#REF!, E305:P305=MIN(E305:P305))</f>
        <v>#REF!</v>
      </c>
    </row>
    <row r="306" spans="18:18">
      <c r="R306" s="137" t="e" cm="1">
        <f t="array" ref="R306">_xlfn._xlws.FILTER(#REF!, E306:P306=MIN(E306:P306))</f>
        <v>#REF!</v>
      </c>
    </row>
    <row r="307" spans="18:18">
      <c r="R307" s="137" t="e" cm="1">
        <f t="array" ref="R307">_xlfn._xlws.FILTER(#REF!, E307:P307=MIN(E307:P307))</f>
        <v>#REF!</v>
      </c>
    </row>
    <row r="308" spans="18:18">
      <c r="R308" s="137" t="e" cm="1">
        <f t="array" ref="R308">_xlfn._xlws.FILTER(#REF!, E308:P308=MIN(E308:P308))</f>
        <v>#REF!</v>
      </c>
    </row>
    <row r="309" spans="18:18">
      <c r="R309" s="137" t="e" cm="1">
        <f t="array" ref="R309">_xlfn._xlws.FILTER(#REF!, E309:P309=MIN(E309:P309))</f>
        <v>#REF!</v>
      </c>
    </row>
    <row r="310" spans="18:18">
      <c r="R310" s="137" t="e" cm="1">
        <f t="array" ref="R310">_xlfn._xlws.FILTER(#REF!, E310:P310=MIN(E310:P310))</f>
        <v>#REF!</v>
      </c>
    </row>
    <row r="311" spans="18:18">
      <c r="R311" s="137" t="e" cm="1">
        <f t="array" ref="R311">_xlfn._xlws.FILTER(#REF!, E311:P311=MIN(E311:P311))</f>
        <v>#REF!</v>
      </c>
    </row>
    <row r="312" spans="18:18">
      <c r="R312" s="137" t="e" cm="1">
        <f t="array" ref="R312">_xlfn._xlws.FILTER(#REF!, E312:P312=MIN(E312:P312))</f>
        <v>#REF!</v>
      </c>
    </row>
    <row r="313" spans="18:18">
      <c r="R313" s="137" t="e" cm="1">
        <f t="array" ref="R313">_xlfn._xlws.FILTER(#REF!, E313:P313=MIN(E313:P313))</f>
        <v>#REF!</v>
      </c>
    </row>
    <row r="314" spans="18:18">
      <c r="R314" s="137" t="e" cm="1">
        <f t="array" ref="R314">_xlfn._xlws.FILTER(#REF!, E314:P314=MIN(E314:P314))</f>
        <v>#REF!</v>
      </c>
    </row>
    <row r="315" spans="18:18">
      <c r="R315" s="137" t="e" cm="1">
        <f t="array" ref="R315">_xlfn._xlws.FILTER(#REF!, E315:P315=MIN(E315:P315))</f>
        <v>#REF!</v>
      </c>
    </row>
    <row r="316" spans="18:18">
      <c r="R316" s="137" t="e" cm="1">
        <f t="array" ref="R316">_xlfn._xlws.FILTER(#REF!, E316:P316=MIN(E316:P316))</f>
        <v>#REF!</v>
      </c>
    </row>
    <row r="317" spans="18:18">
      <c r="R317" s="137" t="e" cm="1">
        <f t="array" ref="R317">_xlfn._xlws.FILTER(#REF!, E317:P317=MIN(E317:P317))</f>
        <v>#REF!</v>
      </c>
    </row>
    <row r="318" spans="18:18">
      <c r="R318" s="137" t="e" cm="1">
        <f t="array" ref="R318">_xlfn._xlws.FILTER(#REF!, E318:P318=MIN(E318:P318))</f>
        <v>#REF!</v>
      </c>
    </row>
    <row r="319" spans="18:18">
      <c r="R319" s="137" t="e" cm="1">
        <f t="array" ref="R319">_xlfn._xlws.FILTER(#REF!, E319:P319=MIN(E319:P319))</f>
        <v>#REF!</v>
      </c>
    </row>
    <row r="320" spans="18:18">
      <c r="R320" s="137" t="e" cm="1">
        <f t="array" ref="R320">_xlfn._xlws.FILTER(#REF!, E320:P320=MIN(E320:P320))</f>
        <v>#REF!</v>
      </c>
    </row>
    <row r="321" spans="18:18">
      <c r="R321" s="137" t="e" cm="1">
        <f t="array" ref="R321">_xlfn._xlws.FILTER(#REF!, E321:P321=MIN(E321:P321))</f>
        <v>#REF!</v>
      </c>
    </row>
    <row r="322" spans="18:18">
      <c r="R322" s="137" t="e" cm="1">
        <f t="array" ref="R322">_xlfn._xlws.FILTER(#REF!, E322:P322=MIN(E322:P322))</f>
        <v>#REF!</v>
      </c>
    </row>
    <row r="323" spans="18:18">
      <c r="R323" s="137" t="e" cm="1">
        <f t="array" ref="R323">_xlfn._xlws.FILTER(#REF!, E323:P323=MIN(E323:P323))</f>
        <v>#REF!</v>
      </c>
    </row>
    <row r="324" spans="18:18">
      <c r="R324" s="137" t="e" cm="1">
        <f t="array" ref="R324">_xlfn._xlws.FILTER(#REF!, E324:P324=MIN(E324:P324))</f>
        <v>#REF!</v>
      </c>
    </row>
    <row r="325" spans="18:18">
      <c r="R325" s="137" t="e" cm="1">
        <f t="array" ref="R325">_xlfn._xlws.FILTER(#REF!, E325:P325=MIN(E325:P325))</f>
        <v>#REF!</v>
      </c>
    </row>
    <row r="326" spans="18:18">
      <c r="R326" s="137" t="e" cm="1">
        <f t="array" ref="R326">_xlfn._xlws.FILTER(#REF!, E326:P326=MIN(E326:P326))</f>
        <v>#REF!</v>
      </c>
    </row>
    <row r="327" spans="18:18">
      <c r="R327" s="137" t="e" cm="1">
        <f t="array" ref="R327">_xlfn._xlws.FILTER(#REF!, E327:P327=MIN(E327:P327))</f>
        <v>#REF!</v>
      </c>
    </row>
    <row r="328" spans="18:18">
      <c r="R328" s="137" t="e" cm="1">
        <f t="array" ref="R328">_xlfn._xlws.FILTER(#REF!, E328:P328=MIN(E328:P328))</f>
        <v>#REF!</v>
      </c>
    </row>
    <row r="329" spans="18:18">
      <c r="R329" s="137" t="e" cm="1">
        <f t="array" ref="R329">_xlfn._xlws.FILTER(#REF!, E329:P329=MIN(E329:P329))</f>
        <v>#REF!</v>
      </c>
    </row>
    <row r="330" spans="18:18">
      <c r="R330" s="137" t="e" cm="1">
        <f t="array" ref="R330">_xlfn._xlws.FILTER(#REF!, E330:P330=MIN(E330:P330))</f>
        <v>#REF!</v>
      </c>
    </row>
    <row r="331" spans="18:18">
      <c r="R331" s="137" t="e" cm="1">
        <f t="array" ref="R331">_xlfn._xlws.FILTER(#REF!, E331:P331=MIN(E331:P331))</f>
        <v>#REF!</v>
      </c>
    </row>
    <row r="332" spans="18:18">
      <c r="R332" s="137" t="e" cm="1">
        <f t="array" ref="R332">_xlfn._xlws.FILTER(#REF!, E332:P332=MIN(E332:P332))</f>
        <v>#REF!</v>
      </c>
    </row>
    <row r="333" spans="18:18">
      <c r="R333" s="137" t="e" cm="1">
        <f t="array" ref="R333">_xlfn._xlws.FILTER(#REF!, E333:P333=MIN(E333:P333))</f>
        <v>#REF!</v>
      </c>
    </row>
    <row r="334" spans="18:18">
      <c r="R334" s="137" t="e" cm="1">
        <f t="array" ref="R334">_xlfn._xlws.FILTER(#REF!, E334:P334=MIN(E334:P334))</f>
        <v>#REF!</v>
      </c>
    </row>
    <row r="335" spans="18:18">
      <c r="R335" s="137" t="e" cm="1">
        <f t="array" ref="R335">_xlfn._xlws.FILTER(#REF!, E335:P335=MIN(E335:P335))</f>
        <v>#REF!</v>
      </c>
    </row>
    <row r="336" spans="18:18">
      <c r="R336" s="137" t="e" cm="1">
        <f t="array" ref="R336">_xlfn._xlws.FILTER(#REF!, E336:P336=MIN(E336:P336))</f>
        <v>#REF!</v>
      </c>
    </row>
    <row r="337" spans="18:18">
      <c r="R337" s="137" t="e" cm="1">
        <f t="array" ref="R337">_xlfn._xlws.FILTER(#REF!, E337:P337=MIN(E337:P337))</f>
        <v>#REF!</v>
      </c>
    </row>
    <row r="338" spans="18:18">
      <c r="R338" s="137" t="e" cm="1">
        <f t="array" ref="R338">_xlfn._xlws.FILTER(#REF!, E338:P338=MIN(E338:P338))</f>
        <v>#REF!</v>
      </c>
    </row>
    <row r="339" spans="18:18">
      <c r="R339" s="137" t="e" cm="1">
        <f t="array" ref="R339">_xlfn._xlws.FILTER(#REF!, E339:P339=MIN(E339:P339))</f>
        <v>#REF!</v>
      </c>
    </row>
    <row r="340" spans="18:18">
      <c r="R340" s="137" t="e" cm="1">
        <f t="array" ref="R340">_xlfn._xlws.FILTER(#REF!, E340:P340=MIN(E340:P340))</f>
        <v>#REF!</v>
      </c>
    </row>
    <row r="341" spans="18:18">
      <c r="R341" s="137" t="e" cm="1">
        <f t="array" ref="R341">_xlfn._xlws.FILTER(#REF!, E341:P341=MIN(E341:P341))</f>
        <v>#REF!</v>
      </c>
    </row>
    <row r="342" spans="18:18">
      <c r="R342" s="137" t="e" cm="1">
        <f t="array" ref="R342">_xlfn._xlws.FILTER(#REF!, E342:P342=MIN(E342:P342))</f>
        <v>#REF!</v>
      </c>
    </row>
    <row r="343" spans="18:18">
      <c r="R343" s="137" t="e" cm="1">
        <f t="array" ref="R343">_xlfn._xlws.FILTER(#REF!, E343:P343=MIN(E343:P343))</f>
        <v>#REF!</v>
      </c>
    </row>
    <row r="344" spans="18:18">
      <c r="R344" s="137" t="e" cm="1">
        <f t="array" ref="R344">_xlfn._xlws.FILTER(#REF!, E344:P344=MIN(E344:P344))</f>
        <v>#REF!</v>
      </c>
    </row>
    <row r="345" spans="18:18">
      <c r="R345" s="137" t="e" cm="1">
        <f t="array" ref="R345">_xlfn._xlws.FILTER(#REF!, E345:P345=MIN(E345:P345))</f>
        <v>#REF!</v>
      </c>
    </row>
    <row r="346" spans="18:18">
      <c r="R346" s="137" t="e" cm="1">
        <f t="array" ref="R346">_xlfn._xlws.FILTER(#REF!, E346:P346=MIN(E346:P346))</f>
        <v>#REF!</v>
      </c>
    </row>
    <row r="347" spans="18:18">
      <c r="R347" s="137" t="e" cm="1">
        <f t="array" ref="R347">_xlfn._xlws.FILTER(#REF!, E347:P347=MIN(E347:P347))</f>
        <v>#REF!</v>
      </c>
    </row>
    <row r="348" spans="18:18">
      <c r="R348" s="137" t="e" cm="1">
        <f t="array" ref="R348">_xlfn._xlws.FILTER(#REF!, E348:P348=MIN(E348:P348))</f>
        <v>#REF!</v>
      </c>
    </row>
    <row r="349" spans="18:18">
      <c r="R349" s="137" t="e" cm="1">
        <f t="array" ref="R349">_xlfn._xlws.FILTER(#REF!, E349:P349=MIN(E349:P349))</f>
        <v>#REF!</v>
      </c>
    </row>
    <row r="350" spans="18:18">
      <c r="R350" s="137" t="e" cm="1">
        <f t="array" ref="R350">_xlfn._xlws.FILTER(#REF!, E350:P350=MIN(E350:P350))</f>
        <v>#REF!</v>
      </c>
    </row>
    <row r="351" spans="18:18">
      <c r="R351" s="137" t="e" cm="1">
        <f t="array" ref="R351">_xlfn._xlws.FILTER(#REF!, E351:P351=MIN(E351:P351))</f>
        <v>#REF!</v>
      </c>
    </row>
    <row r="352" spans="18:18">
      <c r="R352" s="137" t="e" cm="1">
        <f t="array" ref="R352">_xlfn._xlws.FILTER(#REF!, E352:P352=MIN(E352:P352))</f>
        <v>#REF!</v>
      </c>
    </row>
    <row r="353" spans="18:18">
      <c r="R353" s="137" t="e" cm="1">
        <f t="array" ref="R353">_xlfn._xlws.FILTER(#REF!, E353:P353=MIN(E353:P353))</f>
        <v>#REF!</v>
      </c>
    </row>
    <row r="354" spans="18:18">
      <c r="R354" s="137" t="e" cm="1">
        <f t="array" ref="R354">_xlfn._xlws.FILTER(#REF!, E354:P354=MIN(E354:P354))</f>
        <v>#REF!</v>
      </c>
    </row>
    <row r="355" spans="18:18">
      <c r="R355" s="137" t="e" cm="1">
        <f t="array" ref="R355">_xlfn._xlws.FILTER(#REF!, E355:P355=MIN(E355:P355))</f>
        <v>#REF!</v>
      </c>
    </row>
    <row r="356" spans="18:18">
      <c r="R356" s="137" t="e" cm="1">
        <f t="array" ref="R356">_xlfn._xlws.FILTER(#REF!, E356:P356=MIN(E356:P356))</f>
        <v>#REF!</v>
      </c>
    </row>
    <row r="357" spans="18:18">
      <c r="R357" s="137" t="e" cm="1">
        <f t="array" ref="R357">_xlfn._xlws.FILTER(#REF!, E357:P357=MIN(E357:P357))</f>
        <v>#REF!</v>
      </c>
    </row>
    <row r="358" spans="18:18">
      <c r="R358" s="137" t="e" cm="1">
        <f t="array" ref="R358">_xlfn._xlws.FILTER(#REF!, E358:P358=MIN(E358:P358))</f>
        <v>#REF!</v>
      </c>
    </row>
    <row r="359" spans="18:18">
      <c r="R359" s="137" t="e" cm="1">
        <f t="array" ref="R359">_xlfn._xlws.FILTER(#REF!, E359:P359=MIN(E359:P359))</f>
        <v>#REF!</v>
      </c>
    </row>
    <row r="360" spans="18:18">
      <c r="R360" s="137" t="e" cm="1">
        <f t="array" ref="R360">_xlfn._xlws.FILTER(#REF!, E360:P360=MIN(E360:P360))</f>
        <v>#REF!</v>
      </c>
    </row>
    <row r="361" spans="18:18">
      <c r="R361" s="137" t="e" cm="1">
        <f t="array" ref="R361">_xlfn._xlws.FILTER(#REF!, E361:P361=MIN(E361:P361))</f>
        <v>#REF!</v>
      </c>
    </row>
    <row r="362" spans="18:18">
      <c r="R362" s="137" t="e" cm="1">
        <f t="array" ref="R362">_xlfn._xlws.FILTER(#REF!, E362:P362=MIN(E362:P362))</f>
        <v>#REF!</v>
      </c>
    </row>
    <row r="363" spans="18:18">
      <c r="R363" s="137" t="e" cm="1">
        <f t="array" ref="R363">_xlfn._xlws.FILTER(#REF!, E363:P363=MIN(E363:P363))</f>
        <v>#REF!</v>
      </c>
    </row>
    <row r="364" spans="18:18">
      <c r="R364" s="137" t="e" cm="1">
        <f t="array" ref="R364">_xlfn._xlws.FILTER(#REF!, E364:P364=MIN(E364:P364))</f>
        <v>#REF!</v>
      </c>
    </row>
    <row r="365" spans="18:18">
      <c r="R365" s="137" t="e" cm="1">
        <f t="array" ref="R365">_xlfn._xlws.FILTER(#REF!, E365:P365=MIN(E365:P365))</f>
        <v>#REF!</v>
      </c>
    </row>
    <row r="366" spans="18:18">
      <c r="R366" s="137" t="e" cm="1">
        <f t="array" ref="R366">_xlfn._xlws.FILTER(#REF!, E366:P366=MIN(E366:P366))</f>
        <v>#REF!</v>
      </c>
    </row>
    <row r="367" spans="18:18">
      <c r="R367" s="137" t="e" cm="1">
        <f t="array" ref="R367">_xlfn._xlws.FILTER(#REF!, E367:P367=MIN(E367:P367))</f>
        <v>#REF!</v>
      </c>
    </row>
    <row r="368" spans="18:18">
      <c r="R368" s="137" t="e" cm="1">
        <f t="array" ref="R368">_xlfn._xlws.FILTER(#REF!, E368:P368=MIN(E368:P368))</f>
        <v>#REF!</v>
      </c>
    </row>
    <row r="369" spans="18:18">
      <c r="R369" s="137" t="e" cm="1">
        <f t="array" ref="R369">_xlfn._xlws.FILTER(#REF!, E369:P369=MIN(E369:P369))</f>
        <v>#REF!</v>
      </c>
    </row>
    <row r="370" spans="18:18">
      <c r="R370" s="137" t="e" cm="1">
        <f t="array" ref="R370">_xlfn._xlws.FILTER(#REF!, E370:P370=MIN(E370:P370))</f>
        <v>#REF!</v>
      </c>
    </row>
    <row r="371" spans="18:18">
      <c r="R371" s="137" t="e" cm="1">
        <f t="array" ref="R371">_xlfn._xlws.FILTER(#REF!, E371:P371=MIN(E371:P371))</f>
        <v>#REF!</v>
      </c>
    </row>
    <row r="372" spans="18:18">
      <c r="R372" s="137" t="e" cm="1">
        <f t="array" ref="R372">_xlfn._xlws.FILTER(#REF!, E372:P372=MIN(E372:P372))</f>
        <v>#REF!</v>
      </c>
    </row>
    <row r="373" spans="18:18">
      <c r="R373" s="137" t="e" cm="1">
        <f t="array" ref="R373">_xlfn._xlws.FILTER(#REF!, E373:P373=MIN(E373:P373))</f>
        <v>#REF!</v>
      </c>
    </row>
    <row r="374" spans="18:18">
      <c r="R374" s="137" t="e" cm="1">
        <f t="array" ref="R374">_xlfn._xlws.FILTER(#REF!, E374:P374=MIN(E374:P374))</f>
        <v>#REF!</v>
      </c>
    </row>
    <row r="375" spans="18:18">
      <c r="R375" s="137" t="e" cm="1">
        <f t="array" ref="R375">_xlfn._xlws.FILTER(#REF!, E375:P375=MIN(E375:P375))</f>
        <v>#REF!</v>
      </c>
    </row>
    <row r="376" spans="18:18">
      <c r="R376" s="137" t="e" cm="1">
        <f t="array" ref="R376">_xlfn._xlws.FILTER(#REF!, E376:P376=MIN(E376:P376))</f>
        <v>#REF!</v>
      </c>
    </row>
    <row r="377" spans="18:18">
      <c r="R377" s="137" t="e" cm="1">
        <f t="array" ref="R377">_xlfn._xlws.FILTER(#REF!, E377:P377=MIN(E377:P377))</f>
        <v>#REF!</v>
      </c>
    </row>
    <row r="378" spans="18:18">
      <c r="R378" s="137" t="e" cm="1">
        <f t="array" ref="R378">_xlfn._xlws.FILTER(#REF!, E378:P378=MIN(E378:P378))</f>
        <v>#REF!</v>
      </c>
    </row>
    <row r="379" spans="18:18">
      <c r="R379" s="137" t="e" cm="1">
        <f t="array" ref="R379">_xlfn._xlws.FILTER(#REF!, E379:P379=MIN(E379:P379))</f>
        <v>#REF!</v>
      </c>
    </row>
    <row r="380" spans="18:18">
      <c r="R380" s="137" t="e" cm="1">
        <f t="array" ref="R380">_xlfn._xlws.FILTER(#REF!, E380:P380=MIN(E380:P380))</f>
        <v>#REF!</v>
      </c>
    </row>
    <row r="381" spans="18:18">
      <c r="R381" s="137" t="e" cm="1">
        <f t="array" ref="R381">_xlfn._xlws.FILTER(#REF!, E381:P381=MIN(E381:P381))</f>
        <v>#REF!</v>
      </c>
    </row>
    <row r="382" spans="18:18">
      <c r="R382" s="137" t="e" cm="1">
        <f t="array" ref="R382">_xlfn._xlws.FILTER(#REF!, E382:P382=MIN(E382:P382))</f>
        <v>#REF!</v>
      </c>
    </row>
    <row r="383" spans="18:18">
      <c r="R383" s="137" t="e" cm="1">
        <f t="array" ref="R383">_xlfn._xlws.FILTER(#REF!, E383:P383=MIN(E383:P383))</f>
        <v>#REF!</v>
      </c>
    </row>
    <row r="384" spans="18:18">
      <c r="R384" s="137" t="e" cm="1">
        <f t="array" ref="R384">_xlfn._xlws.FILTER(#REF!, E384:P384=MIN(E384:P384))</f>
        <v>#REF!</v>
      </c>
    </row>
    <row r="385" spans="18:18">
      <c r="R385" s="137" t="e" cm="1">
        <f t="array" ref="R385">_xlfn._xlws.FILTER(#REF!, E385:P385=MIN(E385:P385))</f>
        <v>#REF!</v>
      </c>
    </row>
    <row r="386" spans="18:18">
      <c r="R386" s="137" t="e" cm="1">
        <f t="array" ref="R386">_xlfn._xlws.FILTER(#REF!, E386:P386=MIN(E386:P386))</f>
        <v>#REF!</v>
      </c>
    </row>
    <row r="387" spans="18:18">
      <c r="R387" s="137" t="e" cm="1">
        <f t="array" ref="R387">_xlfn._xlws.FILTER(#REF!, E387:P387=MIN(E387:P387))</f>
        <v>#REF!</v>
      </c>
    </row>
    <row r="388" spans="18:18">
      <c r="R388" s="137" t="e" cm="1">
        <f t="array" ref="R388">_xlfn._xlws.FILTER(#REF!, E388:P388=MIN(E388:P388))</f>
        <v>#REF!</v>
      </c>
    </row>
    <row r="389" spans="18:18">
      <c r="R389" s="137" t="e" cm="1">
        <f t="array" ref="R389">_xlfn._xlws.FILTER(#REF!, E389:P389=MIN(E389:P389))</f>
        <v>#REF!</v>
      </c>
    </row>
    <row r="390" spans="18:18">
      <c r="R390" s="137" t="e" cm="1">
        <f t="array" ref="R390">_xlfn._xlws.FILTER(#REF!, E390:P390=MIN(E390:P390))</f>
        <v>#REF!</v>
      </c>
    </row>
    <row r="391" spans="18:18">
      <c r="R391" s="137" t="e" cm="1">
        <f t="array" ref="R391">_xlfn._xlws.FILTER(#REF!, E391:P391=MIN(E391:P391))</f>
        <v>#REF!</v>
      </c>
    </row>
    <row r="392" spans="18:18">
      <c r="R392" s="137" t="e" cm="1">
        <f t="array" ref="R392">_xlfn._xlws.FILTER(#REF!, E392:P392=MIN(E392:P392))</f>
        <v>#REF!</v>
      </c>
    </row>
    <row r="393" spans="18:18">
      <c r="R393" s="137" t="e" cm="1">
        <f t="array" ref="R393">_xlfn._xlws.FILTER(#REF!, E393:P393=MIN(E393:P393))</f>
        <v>#REF!</v>
      </c>
    </row>
    <row r="394" spans="18:18">
      <c r="R394" s="137" t="e" cm="1">
        <f t="array" ref="R394">_xlfn._xlws.FILTER(#REF!, E394:P394=MIN(E394:P394))</f>
        <v>#REF!</v>
      </c>
    </row>
    <row r="395" spans="18:18">
      <c r="R395" s="137" t="e" cm="1">
        <f t="array" ref="R395">_xlfn._xlws.FILTER(#REF!, E395:P395=MIN(E395:P395))</f>
        <v>#REF!</v>
      </c>
    </row>
    <row r="396" spans="18:18">
      <c r="R396" s="137" t="e" cm="1">
        <f t="array" ref="R396">_xlfn._xlws.FILTER(#REF!, E396:P396=MIN(E396:P396))</f>
        <v>#REF!</v>
      </c>
    </row>
    <row r="397" spans="18:18">
      <c r="R397" s="137" t="e" cm="1">
        <f t="array" ref="R397">_xlfn._xlws.FILTER(#REF!, E397:P397=MIN(E397:P397))</f>
        <v>#REF!</v>
      </c>
    </row>
    <row r="398" spans="18:18">
      <c r="R398" s="137" t="e" cm="1">
        <f t="array" ref="R398">_xlfn._xlws.FILTER(#REF!, E398:P398=MIN(E398:P398))</f>
        <v>#REF!</v>
      </c>
    </row>
    <row r="399" spans="18:18">
      <c r="R399" s="137" t="e" cm="1">
        <f t="array" ref="R399">_xlfn._xlws.FILTER(#REF!, E399:P399=MIN(E399:P399))</f>
        <v>#REF!</v>
      </c>
    </row>
    <row r="400" spans="18:18">
      <c r="R400" s="137" t="e" cm="1">
        <f t="array" ref="R400">_xlfn._xlws.FILTER(#REF!, E400:P400=MIN(E400:P400))</f>
        <v>#REF!</v>
      </c>
    </row>
    <row r="401" spans="18:18">
      <c r="R401" s="137" t="e" cm="1">
        <f t="array" ref="R401">_xlfn._xlws.FILTER(#REF!, E401:P401=MIN(E401:P401))</f>
        <v>#REF!</v>
      </c>
    </row>
    <row r="402" spans="18:18">
      <c r="R402" s="137" t="e" cm="1">
        <f t="array" ref="R402">_xlfn._xlws.FILTER(#REF!, E402:P402=MIN(E402:P402))</f>
        <v>#REF!</v>
      </c>
    </row>
    <row r="403" spans="18:18">
      <c r="R403" s="137" t="e" cm="1">
        <f t="array" ref="R403">_xlfn._xlws.FILTER(#REF!, E403:P403=MIN(E403:P403))</f>
        <v>#REF!</v>
      </c>
    </row>
    <row r="404" spans="18:18">
      <c r="R404" s="137" t="e" cm="1">
        <f t="array" ref="R404">_xlfn._xlws.FILTER(#REF!, E404:P404=MIN(E404:P404))</f>
        <v>#REF!</v>
      </c>
    </row>
    <row r="405" spans="18:18">
      <c r="R405" s="137" t="e" cm="1">
        <f t="array" ref="R405">_xlfn._xlws.FILTER(#REF!, E405:P405=MIN(E405:P405))</f>
        <v>#REF!</v>
      </c>
    </row>
    <row r="406" spans="18:18">
      <c r="R406" s="137" t="e" cm="1">
        <f t="array" ref="R406">_xlfn._xlws.FILTER(#REF!, E406:P406=MIN(E406:P406))</f>
        <v>#REF!</v>
      </c>
    </row>
    <row r="407" spans="18:18">
      <c r="R407" s="137" t="e" cm="1">
        <f t="array" ref="R407">_xlfn._xlws.FILTER(#REF!, E407:P407=MIN(E407:P407))</f>
        <v>#REF!</v>
      </c>
    </row>
    <row r="408" spans="18:18">
      <c r="R408" s="137" t="e" cm="1">
        <f t="array" ref="R408">_xlfn._xlws.FILTER(#REF!, E408:P408=MIN(E408:P408))</f>
        <v>#REF!</v>
      </c>
    </row>
    <row r="409" spans="18:18">
      <c r="R409" s="137" t="e" cm="1">
        <f t="array" ref="R409">_xlfn._xlws.FILTER(#REF!, E409:P409=MIN(E409:P409))</f>
        <v>#REF!</v>
      </c>
    </row>
    <row r="410" spans="18:18">
      <c r="R410" s="137" t="e" cm="1">
        <f t="array" ref="R410">_xlfn._xlws.FILTER(#REF!, E410:P410=MIN(E410:P410))</f>
        <v>#REF!</v>
      </c>
    </row>
    <row r="411" spans="18:18">
      <c r="R411" s="137" t="e" cm="1">
        <f t="array" ref="R411">_xlfn._xlws.FILTER(#REF!, E411:P411=MIN(E411:P411))</f>
        <v>#REF!</v>
      </c>
    </row>
    <row r="412" spans="18:18">
      <c r="R412" s="137" t="e" cm="1">
        <f t="array" ref="R412">_xlfn._xlws.FILTER(#REF!, E412:P412=MIN(E412:P412))</f>
        <v>#REF!</v>
      </c>
    </row>
    <row r="413" spans="18:18">
      <c r="R413" s="137" t="e" cm="1">
        <f t="array" ref="R413">_xlfn._xlws.FILTER(#REF!, E413:P413=MIN(E413:P413))</f>
        <v>#REF!</v>
      </c>
    </row>
    <row r="414" spans="18:18">
      <c r="R414" s="137" t="e" cm="1">
        <f t="array" ref="R414">_xlfn._xlws.FILTER(#REF!, E414:P414=MIN(E414:P414))</f>
        <v>#REF!</v>
      </c>
    </row>
    <row r="415" spans="18:18">
      <c r="R415" s="137" t="e" cm="1">
        <f t="array" ref="R415">_xlfn._xlws.FILTER(#REF!, E415:P415=MIN(E415:P415))</f>
        <v>#REF!</v>
      </c>
    </row>
    <row r="416" spans="18:18">
      <c r="R416" s="137" t="e" cm="1">
        <f t="array" ref="R416">_xlfn._xlws.FILTER(#REF!, E416:P416=MIN(E416:P416))</f>
        <v>#REF!</v>
      </c>
    </row>
    <row r="417" spans="18:18">
      <c r="R417" s="137" t="e" cm="1">
        <f t="array" ref="R417">_xlfn._xlws.FILTER(#REF!, E417:P417=MIN(E417:P417))</f>
        <v>#REF!</v>
      </c>
    </row>
    <row r="418" spans="18:18">
      <c r="R418" s="137" t="e" cm="1">
        <f t="array" ref="R418">_xlfn._xlws.FILTER(#REF!, E418:P418=MIN(E418:P418))</f>
        <v>#REF!</v>
      </c>
    </row>
    <row r="419" spans="18:18">
      <c r="R419" s="137" t="e" cm="1">
        <f t="array" ref="R419">_xlfn._xlws.FILTER(#REF!, E419:P419=MIN(E419:P419))</f>
        <v>#REF!</v>
      </c>
    </row>
    <row r="420" spans="18:18">
      <c r="R420" s="137" t="e" cm="1">
        <f t="array" ref="R420">_xlfn._xlws.FILTER(#REF!, E420:P420=MIN(E420:P420))</f>
        <v>#REF!</v>
      </c>
    </row>
    <row r="421" spans="18:18">
      <c r="R421" s="137" t="e" cm="1">
        <f t="array" ref="R421">_xlfn._xlws.FILTER(#REF!, E421:P421=MIN(E421:P421))</f>
        <v>#REF!</v>
      </c>
    </row>
    <row r="422" spans="18:18">
      <c r="R422" s="137" t="e" cm="1">
        <f t="array" ref="R422">_xlfn._xlws.FILTER(#REF!, E422:P422=MIN(E422:P422))</f>
        <v>#REF!</v>
      </c>
    </row>
    <row r="423" spans="18:18">
      <c r="R423" s="137" t="e" cm="1">
        <f t="array" ref="R423">_xlfn._xlws.FILTER(#REF!, E423:P423=MIN(E423:P423))</f>
        <v>#REF!</v>
      </c>
    </row>
    <row r="424" spans="18:18">
      <c r="R424" s="137" t="e" cm="1">
        <f t="array" ref="R424">_xlfn._xlws.FILTER(#REF!, E424:P424=MIN(E424:P424))</f>
        <v>#REF!</v>
      </c>
    </row>
    <row r="425" spans="18:18">
      <c r="R425" s="137" t="e" cm="1">
        <f t="array" ref="R425">_xlfn._xlws.FILTER(#REF!, E425:P425=MIN(E425:P425))</f>
        <v>#REF!</v>
      </c>
    </row>
    <row r="426" spans="18:18">
      <c r="R426" s="137" t="e" cm="1">
        <f t="array" ref="R426">_xlfn._xlws.FILTER(#REF!, E426:P426=MIN(E426:P426))</f>
        <v>#REF!</v>
      </c>
    </row>
    <row r="427" spans="18:18">
      <c r="R427" s="137" t="e" cm="1">
        <f t="array" ref="R427">_xlfn._xlws.FILTER(#REF!, E427:P427=MIN(E427:P427))</f>
        <v>#REF!</v>
      </c>
    </row>
    <row r="428" spans="18:18">
      <c r="R428" s="137" t="e" cm="1">
        <f t="array" ref="R428">_xlfn._xlws.FILTER(#REF!, E428:P428=MIN(E428:P428))</f>
        <v>#REF!</v>
      </c>
    </row>
    <row r="429" spans="18:18">
      <c r="R429" s="137" t="e" cm="1">
        <f t="array" ref="R429">_xlfn._xlws.FILTER(#REF!, E429:P429=MIN(E429:P429))</f>
        <v>#REF!</v>
      </c>
    </row>
    <row r="430" spans="18:18">
      <c r="R430" s="137" t="e" cm="1">
        <f t="array" ref="R430">_xlfn._xlws.FILTER(#REF!, E430:P430=MIN(E430:P430))</f>
        <v>#REF!</v>
      </c>
    </row>
    <row r="431" spans="18:18">
      <c r="R431" s="137" t="e" cm="1">
        <f t="array" ref="R431">_xlfn._xlws.FILTER(#REF!, E431:P431=MIN(E431:P431))</f>
        <v>#REF!</v>
      </c>
    </row>
    <row r="432" spans="18:18">
      <c r="R432" s="137" t="e" cm="1">
        <f t="array" ref="R432">_xlfn._xlws.FILTER(#REF!, E432:P432=MIN(E432:P432))</f>
        <v>#REF!</v>
      </c>
    </row>
    <row r="433" spans="18:18">
      <c r="R433" s="137" t="e" cm="1">
        <f t="array" ref="R433">_xlfn._xlws.FILTER(#REF!, E433:P433=MIN(E433:P433))</f>
        <v>#REF!</v>
      </c>
    </row>
    <row r="434" spans="18:18">
      <c r="R434" s="137" t="e" cm="1">
        <f t="array" ref="R434">_xlfn._xlws.FILTER(#REF!, E434:P434=MIN(E434:P434))</f>
        <v>#REF!</v>
      </c>
    </row>
    <row r="435" spans="18:18">
      <c r="R435" s="137" t="e" cm="1">
        <f t="array" ref="R435">_xlfn._xlws.FILTER(#REF!, E435:P435=MIN(E435:P435))</f>
        <v>#REF!</v>
      </c>
    </row>
    <row r="436" spans="18:18">
      <c r="R436" s="137" t="e" cm="1">
        <f t="array" ref="R436">_xlfn._xlws.FILTER(#REF!, E436:P436=MIN(E436:P436))</f>
        <v>#REF!</v>
      </c>
    </row>
    <row r="437" spans="18:18">
      <c r="R437" s="137" t="e" cm="1">
        <f t="array" ref="R437">_xlfn._xlws.FILTER(#REF!, E437:P437=MIN(E437:P437))</f>
        <v>#REF!</v>
      </c>
    </row>
    <row r="438" spans="18:18">
      <c r="R438" s="137" t="e" cm="1">
        <f t="array" ref="R438">_xlfn._xlws.FILTER(#REF!, E438:P438=MIN(E438:P438))</f>
        <v>#REF!</v>
      </c>
    </row>
    <row r="439" spans="18:18">
      <c r="R439" s="137" t="e" cm="1">
        <f t="array" ref="R439">_xlfn._xlws.FILTER(#REF!, E439:P439=MIN(E439:P439))</f>
        <v>#REF!</v>
      </c>
    </row>
    <row r="440" spans="18:18">
      <c r="R440" s="137" t="e" cm="1">
        <f t="array" ref="R440">_xlfn._xlws.FILTER(#REF!, E440:P440=MIN(E440:P440))</f>
        <v>#REF!</v>
      </c>
    </row>
    <row r="441" spans="18:18">
      <c r="R441" s="137" t="e" cm="1">
        <f t="array" ref="R441">_xlfn._xlws.FILTER(#REF!, E441:P441=MIN(E441:P441))</f>
        <v>#REF!</v>
      </c>
    </row>
    <row r="442" spans="18:18">
      <c r="R442" s="137" t="e" cm="1">
        <f t="array" ref="R442">_xlfn._xlws.FILTER(#REF!, E442:P442=MIN(E442:P442))</f>
        <v>#REF!</v>
      </c>
    </row>
    <row r="443" spans="18:18">
      <c r="R443" s="137" t="e" cm="1">
        <f t="array" ref="R443">_xlfn._xlws.FILTER(#REF!, E443:P443=MIN(E443:P443))</f>
        <v>#REF!</v>
      </c>
    </row>
    <row r="444" spans="18:18">
      <c r="R444" s="137" t="e" cm="1">
        <f t="array" ref="R444">_xlfn._xlws.FILTER(#REF!, E444:P444=MIN(E444:P444))</f>
        <v>#REF!</v>
      </c>
    </row>
    <row r="445" spans="18:18">
      <c r="R445" s="137" t="e" cm="1">
        <f t="array" ref="R445">_xlfn._xlws.FILTER(#REF!, E445:P445=MIN(E445:P445))</f>
        <v>#REF!</v>
      </c>
    </row>
    <row r="446" spans="18:18">
      <c r="R446" s="137" t="e" cm="1">
        <f t="array" ref="R446">_xlfn._xlws.FILTER(#REF!, E446:P446=MIN(E446:P446))</f>
        <v>#REF!</v>
      </c>
    </row>
    <row r="447" spans="18:18">
      <c r="R447" s="137" t="e" cm="1">
        <f t="array" ref="R447">_xlfn._xlws.FILTER(#REF!, E447:P447=MIN(E447:P447))</f>
        <v>#REF!</v>
      </c>
    </row>
    <row r="448" spans="18:18">
      <c r="R448" s="137" t="e" cm="1">
        <f t="array" ref="R448">_xlfn._xlws.FILTER(#REF!, E448:P448=MIN(E448:P448))</f>
        <v>#REF!</v>
      </c>
    </row>
    <row r="449" spans="18:18">
      <c r="R449" s="137" t="e" cm="1">
        <f t="array" ref="R449">_xlfn._xlws.FILTER(#REF!, E449:P449=MIN(E449:P449))</f>
        <v>#REF!</v>
      </c>
    </row>
    <row r="450" spans="18:18">
      <c r="R450" s="137" t="e" cm="1">
        <f t="array" ref="R450">_xlfn._xlws.FILTER(#REF!, E450:P450=MIN(E450:P450))</f>
        <v>#REF!</v>
      </c>
    </row>
    <row r="451" spans="18:18">
      <c r="R451" s="137" t="e" cm="1">
        <f t="array" ref="R451">_xlfn._xlws.FILTER(#REF!, E451:P451=MIN(E451:P451))</f>
        <v>#REF!</v>
      </c>
    </row>
    <row r="452" spans="18:18">
      <c r="R452" s="137" t="e" cm="1">
        <f t="array" ref="R452">_xlfn._xlws.FILTER(#REF!, E452:P452=MIN(E452:P452))</f>
        <v>#REF!</v>
      </c>
    </row>
    <row r="453" spans="18:18">
      <c r="R453" s="137" t="e" cm="1">
        <f t="array" ref="R453">_xlfn._xlws.FILTER(#REF!, E453:P453=MIN(E453:P453))</f>
        <v>#REF!</v>
      </c>
    </row>
    <row r="454" spans="18:18">
      <c r="R454" s="137" t="e" cm="1">
        <f t="array" ref="R454">_xlfn._xlws.FILTER(#REF!, E454:P454=MIN(E454:P454))</f>
        <v>#REF!</v>
      </c>
    </row>
    <row r="455" spans="18:18">
      <c r="R455" s="137" t="e" cm="1">
        <f t="array" ref="R455">_xlfn._xlws.FILTER(#REF!, E455:P455=MIN(E455:P455))</f>
        <v>#REF!</v>
      </c>
    </row>
    <row r="456" spans="18:18">
      <c r="R456" s="137" t="e" cm="1">
        <f t="array" ref="R456">_xlfn._xlws.FILTER(#REF!, E456:P456=MIN(E456:P456))</f>
        <v>#REF!</v>
      </c>
    </row>
    <row r="457" spans="18:18">
      <c r="R457" s="137" t="e" cm="1">
        <f t="array" ref="R457">_xlfn._xlws.FILTER(#REF!, E457:P457=MIN(E457:P457))</f>
        <v>#REF!</v>
      </c>
    </row>
    <row r="458" spans="18:18">
      <c r="R458" s="137" t="e" cm="1">
        <f t="array" ref="R458">_xlfn._xlws.FILTER(#REF!, E458:P458=MIN(E458:P458))</f>
        <v>#REF!</v>
      </c>
    </row>
    <row r="459" spans="18:18">
      <c r="R459" s="137" t="e" cm="1">
        <f t="array" ref="R459">_xlfn._xlws.FILTER(#REF!, E459:P459=MIN(E459:P459))</f>
        <v>#REF!</v>
      </c>
    </row>
    <row r="460" spans="18:18">
      <c r="R460" s="137" t="e" cm="1">
        <f t="array" ref="R460">_xlfn._xlws.FILTER(#REF!, E460:P460=MIN(E460:P460))</f>
        <v>#REF!</v>
      </c>
    </row>
    <row r="461" spans="18:18">
      <c r="R461" s="137" t="e" cm="1">
        <f t="array" ref="R461">_xlfn._xlws.FILTER(#REF!, E461:P461=MIN(E461:P461))</f>
        <v>#REF!</v>
      </c>
    </row>
    <row r="462" spans="18:18">
      <c r="R462" s="137" t="e" cm="1">
        <f t="array" ref="R462">_xlfn._xlws.FILTER(#REF!, E462:P462=MIN(E462:P462))</f>
        <v>#REF!</v>
      </c>
    </row>
    <row r="463" spans="18:18">
      <c r="R463" s="137" t="e" cm="1">
        <f t="array" ref="R463">_xlfn._xlws.FILTER(#REF!, E463:P463=MIN(E463:P463))</f>
        <v>#REF!</v>
      </c>
    </row>
    <row r="464" spans="18:18">
      <c r="R464" s="137" t="e" cm="1">
        <f t="array" ref="R464">_xlfn._xlws.FILTER(#REF!, E464:P464=MIN(E464:P464))</f>
        <v>#REF!</v>
      </c>
    </row>
    <row r="465" spans="18:18">
      <c r="R465" s="137" t="e" cm="1">
        <f t="array" ref="R465">_xlfn._xlws.FILTER(#REF!, E465:P465=MIN(E465:P465))</f>
        <v>#REF!</v>
      </c>
    </row>
    <row r="466" spans="18:18">
      <c r="R466" s="137" t="e" cm="1">
        <f t="array" ref="R466">_xlfn._xlws.FILTER(#REF!, E466:P466=MIN(E466:P466))</f>
        <v>#REF!</v>
      </c>
    </row>
    <row r="467" spans="18:18">
      <c r="R467" s="137" t="e" cm="1">
        <f t="array" ref="R467">_xlfn._xlws.FILTER(#REF!, E467:P467=MIN(E467:P467))</f>
        <v>#REF!</v>
      </c>
    </row>
    <row r="468" spans="18:18">
      <c r="R468" s="137" t="e" cm="1">
        <f t="array" ref="R468">_xlfn._xlws.FILTER(#REF!, E468:P468=MIN(E468:P468))</f>
        <v>#REF!</v>
      </c>
    </row>
    <row r="469" spans="18:18">
      <c r="R469" s="137" t="e" cm="1">
        <f t="array" ref="R469">_xlfn._xlws.FILTER(#REF!, E469:P469=MIN(E469:P469))</f>
        <v>#REF!</v>
      </c>
    </row>
    <row r="470" spans="18:18">
      <c r="R470" s="137" t="e" cm="1">
        <f t="array" ref="R470">_xlfn._xlws.FILTER(#REF!, E470:P470=MIN(E470:P470))</f>
        <v>#REF!</v>
      </c>
    </row>
    <row r="471" spans="18:18">
      <c r="R471" s="137" t="e" cm="1">
        <f t="array" ref="R471">_xlfn._xlws.FILTER(#REF!, E471:P471=MIN(E471:P471))</f>
        <v>#REF!</v>
      </c>
    </row>
    <row r="472" spans="18:18">
      <c r="R472" s="137" t="e" cm="1">
        <f t="array" ref="R472">_xlfn._xlws.FILTER(#REF!, E472:P472=MIN(E472:P472))</f>
        <v>#REF!</v>
      </c>
    </row>
    <row r="473" spans="18:18">
      <c r="R473" s="137" t="e" cm="1">
        <f t="array" ref="R473">_xlfn._xlws.FILTER(#REF!, E473:P473=MIN(E473:P473))</f>
        <v>#REF!</v>
      </c>
    </row>
    <row r="474" spans="18:18">
      <c r="R474" s="137" t="e" cm="1">
        <f t="array" ref="R474">_xlfn._xlws.FILTER(#REF!, E474:P474=MIN(E474:P474))</f>
        <v>#REF!</v>
      </c>
    </row>
    <row r="475" spans="18:18">
      <c r="R475" s="137" t="e" cm="1">
        <f t="array" ref="R475">_xlfn._xlws.FILTER(#REF!, E475:P475=MIN(E475:P475))</f>
        <v>#REF!</v>
      </c>
    </row>
    <row r="476" spans="18:18">
      <c r="R476" s="137" t="e" cm="1">
        <f t="array" ref="R476">_xlfn._xlws.FILTER(#REF!, E476:P476=MIN(E476:P476))</f>
        <v>#REF!</v>
      </c>
    </row>
    <row r="477" spans="18:18">
      <c r="R477" s="137" t="e" cm="1">
        <f t="array" ref="R477">_xlfn._xlws.FILTER(#REF!, E477:P477=MIN(E477:P477))</f>
        <v>#REF!</v>
      </c>
    </row>
    <row r="478" spans="18:18">
      <c r="R478" s="137" t="e" cm="1">
        <f t="array" ref="R478">_xlfn._xlws.FILTER(#REF!, E478:P478=MIN(E478:P478))</f>
        <v>#REF!</v>
      </c>
    </row>
    <row r="479" spans="18:18">
      <c r="R479" s="137" t="e" cm="1">
        <f t="array" ref="R479">_xlfn._xlws.FILTER(#REF!, E479:P479=MIN(E479:P479))</f>
        <v>#REF!</v>
      </c>
    </row>
    <row r="480" spans="18:18">
      <c r="R480" s="137" t="e" cm="1">
        <f t="array" ref="R480">_xlfn._xlws.FILTER(#REF!, E480:P480=MIN(E480:P480))</f>
        <v>#REF!</v>
      </c>
    </row>
    <row r="481" spans="18:18">
      <c r="R481" s="137" t="e" cm="1">
        <f t="array" ref="R481">_xlfn._xlws.FILTER(#REF!, E481:P481=MIN(E481:P481))</f>
        <v>#REF!</v>
      </c>
    </row>
    <row r="482" spans="18:18">
      <c r="R482" s="137" t="e" cm="1">
        <f t="array" ref="R482">_xlfn._xlws.FILTER(#REF!, E482:P482=MIN(E482:P482))</f>
        <v>#REF!</v>
      </c>
    </row>
    <row r="483" spans="18:18">
      <c r="R483" s="137" t="e" cm="1">
        <f t="array" ref="R483">_xlfn._xlws.FILTER(#REF!, E483:P483=MIN(E483:P483))</f>
        <v>#REF!</v>
      </c>
    </row>
    <row r="484" spans="18:18">
      <c r="R484" s="137" t="e" cm="1">
        <f t="array" ref="R484">_xlfn._xlws.FILTER(#REF!, E484:P484=MIN(E484:P484))</f>
        <v>#REF!</v>
      </c>
    </row>
    <row r="485" spans="18:18">
      <c r="R485" s="137" t="e" cm="1">
        <f t="array" ref="R485">_xlfn._xlws.FILTER(#REF!, E485:P485=MIN(E485:P485))</f>
        <v>#REF!</v>
      </c>
    </row>
    <row r="486" spans="18:18">
      <c r="R486" s="137" t="e" cm="1">
        <f t="array" ref="R486">_xlfn._xlws.FILTER(#REF!, E486:P486=MIN(E486:P486))</f>
        <v>#REF!</v>
      </c>
    </row>
    <row r="487" spans="18:18">
      <c r="R487" s="137" t="e" cm="1">
        <f t="array" ref="R487">_xlfn._xlws.FILTER(#REF!, E487:P487=MIN(E487:P487))</f>
        <v>#REF!</v>
      </c>
    </row>
    <row r="488" spans="18:18">
      <c r="R488" s="137" t="e" cm="1">
        <f t="array" ref="R488">_xlfn._xlws.FILTER(#REF!, E488:P488=MIN(E488:P488))</f>
        <v>#REF!</v>
      </c>
    </row>
    <row r="489" spans="18:18">
      <c r="R489" s="137" t="e" cm="1">
        <f t="array" ref="R489">_xlfn._xlws.FILTER(#REF!, E489:P489=MIN(E489:P489))</f>
        <v>#REF!</v>
      </c>
    </row>
    <row r="490" spans="18:18">
      <c r="R490" s="137" t="e" cm="1">
        <f t="array" ref="R490">_xlfn._xlws.FILTER(#REF!, E490:P490=MIN(E490:P490))</f>
        <v>#REF!</v>
      </c>
    </row>
    <row r="491" spans="18:18">
      <c r="R491" s="137" t="e" cm="1">
        <f t="array" ref="R491">_xlfn._xlws.FILTER(#REF!, E491:P491=MIN(E491:P491))</f>
        <v>#REF!</v>
      </c>
    </row>
    <row r="492" spans="18:18">
      <c r="R492" s="137" t="e" cm="1">
        <f t="array" ref="R492">_xlfn._xlws.FILTER(#REF!, E492:P492=MIN(E492:P492))</f>
        <v>#REF!</v>
      </c>
    </row>
    <row r="493" spans="18:18">
      <c r="R493" s="137" t="e" cm="1">
        <f t="array" ref="R493">_xlfn._xlws.FILTER(#REF!, E493:P493=MIN(E493:P493))</f>
        <v>#REF!</v>
      </c>
    </row>
    <row r="494" spans="18:18">
      <c r="R494" s="137" t="e" cm="1">
        <f t="array" ref="R494">_xlfn._xlws.FILTER(#REF!, E494:P494=MIN(E494:P494))</f>
        <v>#REF!</v>
      </c>
    </row>
    <row r="495" spans="18:18">
      <c r="R495" s="137" t="e" cm="1">
        <f t="array" ref="R495">_xlfn._xlws.FILTER(#REF!, E495:P495=MIN(E495:P495))</f>
        <v>#REF!</v>
      </c>
    </row>
    <row r="496" spans="18:18">
      <c r="R496" s="137" t="e" cm="1">
        <f t="array" ref="R496">_xlfn._xlws.FILTER(#REF!, E496:P496=MIN(E496:P496))</f>
        <v>#REF!</v>
      </c>
    </row>
    <row r="497" spans="18:18">
      <c r="R497" s="137" t="e" cm="1">
        <f t="array" ref="R497">_xlfn._xlws.FILTER(#REF!, E497:P497=MIN(E497:P497))</f>
        <v>#REF!</v>
      </c>
    </row>
    <row r="498" spans="18:18">
      <c r="R498" s="137" t="e" cm="1">
        <f t="array" ref="R498">_xlfn._xlws.FILTER(#REF!, E498:P498=MIN(E498:P498))</f>
        <v>#REF!</v>
      </c>
    </row>
    <row r="499" spans="18:18">
      <c r="R499" s="137" t="e" cm="1">
        <f t="array" ref="R499">_xlfn._xlws.FILTER(#REF!, E499:P499=MIN(E499:P499))</f>
        <v>#REF!</v>
      </c>
    </row>
    <row r="500" spans="18:18">
      <c r="R500" s="137" t="e" cm="1">
        <f t="array" ref="R500">_xlfn._xlws.FILTER(#REF!, E500:P500=MIN(E500:P500))</f>
        <v>#REF!</v>
      </c>
    </row>
    <row r="501" spans="18:18">
      <c r="R501" s="137" t="e" cm="1">
        <f t="array" ref="R501">_xlfn._xlws.FILTER(#REF!, E501:P501=MIN(E501:P501))</f>
        <v>#REF!</v>
      </c>
    </row>
    <row r="502" spans="18:18">
      <c r="R502" s="137" t="e" cm="1">
        <f t="array" ref="R502">_xlfn._xlws.FILTER(#REF!, E502:P502=MIN(E502:P502))</f>
        <v>#REF!</v>
      </c>
    </row>
    <row r="503" spans="18:18">
      <c r="R503" s="137" t="e" cm="1">
        <f t="array" ref="R503">_xlfn._xlws.FILTER(#REF!, E503:P503=MIN(E503:P503))</f>
        <v>#REF!</v>
      </c>
    </row>
    <row r="504" spans="18:18">
      <c r="R504" s="137" t="e" cm="1">
        <f t="array" ref="R504">_xlfn._xlws.FILTER(#REF!, E504:P504=MIN(E504:P504))</f>
        <v>#REF!</v>
      </c>
    </row>
    <row r="505" spans="18:18">
      <c r="R505" s="137" t="e" cm="1">
        <f t="array" ref="R505">_xlfn._xlws.FILTER(#REF!, E505:P505=MIN(E505:P505))</f>
        <v>#REF!</v>
      </c>
    </row>
    <row r="506" spans="18:18">
      <c r="R506" s="137" t="e" cm="1">
        <f t="array" ref="R506">_xlfn._xlws.FILTER(#REF!, E506:P506=MIN(E506:P506))</f>
        <v>#REF!</v>
      </c>
    </row>
    <row r="507" spans="18:18">
      <c r="R507" s="137" t="e" cm="1">
        <f t="array" ref="R507">_xlfn._xlws.FILTER(#REF!, E507:P507=MIN(E507:P507))</f>
        <v>#REF!</v>
      </c>
    </row>
    <row r="508" spans="18:18">
      <c r="R508" s="137" t="e" cm="1">
        <f t="array" ref="R508">_xlfn._xlws.FILTER(#REF!, E508:P508=MIN(E508:P508))</f>
        <v>#REF!</v>
      </c>
    </row>
    <row r="509" spans="18:18">
      <c r="R509" s="137" t="e" cm="1">
        <f t="array" ref="R509">_xlfn._xlws.FILTER(#REF!, E509:P509=MIN(E509:P509))</f>
        <v>#REF!</v>
      </c>
    </row>
    <row r="510" spans="18:18">
      <c r="R510" s="137" t="e" cm="1">
        <f t="array" ref="R510">_xlfn._xlws.FILTER(#REF!, E510:P510=MIN(E510:P510))</f>
        <v>#REF!</v>
      </c>
    </row>
    <row r="511" spans="18:18">
      <c r="R511" s="137" t="e" cm="1">
        <f t="array" ref="R511">_xlfn._xlws.FILTER(#REF!, E511:P511=MIN(E511:P511))</f>
        <v>#REF!</v>
      </c>
    </row>
    <row r="512" spans="18:18">
      <c r="R512" s="137" t="e" cm="1">
        <f t="array" ref="R512">_xlfn._xlws.FILTER(#REF!, E512:P512=MIN(E512:P512))</f>
        <v>#REF!</v>
      </c>
    </row>
    <row r="513" spans="18:18">
      <c r="R513" s="137" t="e" cm="1">
        <f t="array" ref="R513">_xlfn._xlws.FILTER(#REF!, E513:P513=MIN(E513:P513))</f>
        <v>#REF!</v>
      </c>
    </row>
    <row r="514" spans="18:18">
      <c r="R514" s="137" t="e" cm="1">
        <f t="array" ref="R514">_xlfn._xlws.FILTER(#REF!, E514:P514=MIN(E514:P514))</f>
        <v>#REF!</v>
      </c>
    </row>
    <row r="515" spans="18:18">
      <c r="R515" s="137" t="e" cm="1">
        <f t="array" ref="R515">_xlfn._xlws.FILTER(#REF!, E515:P515=MIN(E515:P515))</f>
        <v>#REF!</v>
      </c>
    </row>
    <row r="516" spans="18:18">
      <c r="R516" s="137" t="e" cm="1">
        <f t="array" ref="R516">_xlfn._xlws.FILTER(#REF!, E516:P516=MIN(E516:P516))</f>
        <v>#REF!</v>
      </c>
    </row>
    <row r="517" spans="18:18">
      <c r="R517" s="137" t="e" cm="1">
        <f t="array" ref="R517">_xlfn._xlws.FILTER(#REF!, E517:P517=MIN(E517:P517))</f>
        <v>#REF!</v>
      </c>
    </row>
    <row r="518" spans="18:18">
      <c r="R518" s="137" t="e" cm="1">
        <f t="array" ref="R518">_xlfn._xlws.FILTER(#REF!, E518:P518=MIN(E518:P518))</f>
        <v>#REF!</v>
      </c>
    </row>
    <row r="519" spans="18:18">
      <c r="R519" s="137" t="e" cm="1">
        <f t="array" ref="R519">_xlfn._xlws.FILTER(#REF!, E519:P519=MIN(E519:P519))</f>
        <v>#REF!</v>
      </c>
    </row>
    <row r="520" spans="18:18">
      <c r="R520" s="137" t="e" cm="1">
        <f t="array" ref="R520">_xlfn._xlws.FILTER(#REF!, E520:P520=MIN(E520:P520))</f>
        <v>#REF!</v>
      </c>
    </row>
    <row r="521" spans="18:18">
      <c r="R521" s="137" t="e" cm="1">
        <f t="array" ref="R521">_xlfn._xlws.FILTER(#REF!, E521:P521=MIN(E521:P521))</f>
        <v>#REF!</v>
      </c>
    </row>
    <row r="522" spans="18:18">
      <c r="R522" s="137" t="e" cm="1">
        <f t="array" ref="R522">_xlfn._xlws.FILTER(#REF!, E522:P522=MIN(E522:P522))</f>
        <v>#REF!</v>
      </c>
    </row>
    <row r="523" spans="18:18">
      <c r="R523" s="137" t="e" cm="1">
        <f t="array" ref="R523">_xlfn._xlws.FILTER(#REF!, E523:P523=MIN(E523:P523))</f>
        <v>#REF!</v>
      </c>
    </row>
    <row r="524" spans="18:18">
      <c r="R524" s="137" t="e" cm="1">
        <f t="array" ref="R524">_xlfn._xlws.FILTER(#REF!, E524:P524=MIN(E524:P524))</f>
        <v>#REF!</v>
      </c>
    </row>
    <row r="525" spans="18:18">
      <c r="R525" s="137" t="e" cm="1">
        <f t="array" ref="R525">_xlfn._xlws.FILTER(#REF!, E525:P525=MIN(E525:P525))</f>
        <v>#REF!</v>
      </c>
    </row>
    <row r="526" spans="18:18">
      <c r="R526" s="137" t="e" cm="1">
        <f t="array" ref="R526">_xlfn._xlws.FILTER(#REF!, E526:P526=MIN(E526:P526))</f>
        <v>#REF!</v>
      </c>
    </row>
    <row r="527" spans="18:18">
      <c r="R527" s="137" t="e" cm="1">
        <f t="array" ref="R527">_xlfn._xlws.FILTER(#REF!, E527:P527=MIN(E527:P527))</f>
        <v>#REF!</v>
      </c>
    </row>
    <row r="528" spans="18:18">
      <c r="R528" s="137" t="e" cm="1">
        <f t="array" ref="R528">_xlfn._xlws.FILTER(#REF!, E528:P528=MIN(E528:P528))</f>
        <v>#REF!</v>
      </c>
    </row>
    <row r="529" spans="18:18">
      <c r="R529" s="137" t="e" cm="1">
        <f t="array" ref="R529">_xlfn._xlws.FILTER(#REF!, E529:P529=MIN(E529:P529))</f>
        <v>#REF!</v>
      </c>
    </row>
    <row r="530" spans="18:18">
      <c r="R530" s="137" t="e" cm="1">
        <f t="array" ref="R530">_xlfn._xlws.FILTER(#REF!, E530:P530=MIN(E530:P530))</f>
        <v>#REF!</v>
      </c>
    </row>
    <row r="531" spans="18:18">
      <c r="R531" s="137" t="e" cm="1">
        <f t="array" ref="R531">_xlfn._xlws.FILTER(#REF!, E531:P531=MIN(E531:P531))</f>
        <v>#REF!</v>
      </c>
    </row>
    <row r="532" spans="18:18">
      <c r="R532" s="137" t="e" cm="1">
        <f t="array" ref="R532">_xlfn._xlws.FILTER(#REF!, E532:P532=MIN(E532:P532))</f>
        <v>#REF!</v>
      </c>
    </row>
    <row r="533" spans="18:18">
      <c r="R533" s="137" t="e" cm="1">
        <f t="array" ref="R533">_xlfn._xlws.FILTER(#REF!, E533:P533=MIN(E533:P533))</f>
        <v>#REF!</v>
      </c>
    </row>
    <row r="534" spans="18:18">
      <c r="R534" s="137" t="e" cm="1">
        <f t="array" ref="R534">_xlfn._xlws.FILTER(#REF!, E534:P534=MIN(E534:P534))</f>
        <v>#REF!</v>
      </c>
    </row>
    <row r="535" spans="18:18">
      <c r="R535" s="137" t="e" cm="1">
        <f t="array" ref="R535">_xlfn._xlws.FILTER(#REF!, E535:P535=MIN(E535:P535))</f>
        <v>#REF!</v>
      </c>
    </row>
    <row r="536" spans="18:18">
      <c r="R536" s="137" t="e" cm="1">
        <f t="array" ref="R536">_xlfn._xlws.FILTER(#REF!, E536:P536=MIN(E536:P536))</f>
        <v>#REF!</v>
      </c>
    </row>
    <row r="537" spans="18:18">
      <c r="R537" s="137" t="e" cm="1">
        <f t="array" ref="R537">_xlfn._xlws.FILTER(#REF!, E537:P537=MIN(E537:P537))</f>
        <v>#REF!</v>
      </c>
    </row>
    <row r="538" spans="18:18">
      <c r="R538" s="137" t="e" cm="1">
        <f t="array" ref="R538">_xlfn._xlws.FILTER(#REF!, E538:P538=MIN(E538:P538))</f>
        <v>#REF!</v>
      </c>
    </row>
    <row r="539" spans="18:18">
      <c r="R539" s="137" t="e" cm="1">
        <f t="array" ref="R539">_xlfn._xlws.FILTER(#REF!, E539:P539=MIN(E539:P539))</f>
        <v>#REF!</v>
      </c>
    </row>
    <row r="540" spans="18:18">
      <c r="R540" s="137" t="e" cm="1">
        <f t="array" ref="R540">_xlfn._xlws.FILTER(#REF!, E540:P540=MIN(E540:P540))</f>
        <v>#REF!</v>
      </c>
    </row>
    <row r="541" spans="18:18">
      <c r="R541" s="137" t="e" cm="1">
        <f t="array" ref="R541">_xlfn._xlws.FILTER(#REF!, E541:P541=MIN(E541:P541))</f>
        <v>#REF!</v>
      </c>
    </row>
    <row r="542" spans="18:18">
      <c r="R542" s="137" t="e" cm="1">
        <f t="array" ref="R542">_xlfn._xlws.FILTER(#REF!, E542:P542=MIN(E542:P542))</f>
        <v>#REF!</v>
      </c>
    </row>
    <row r="543" spans="18:18">
      <c r="R543" s="137" t="e" cm="1">
        <f t="array" ref="R543">_xlfn._xlws.FILTER(#REF!, E543:P543=MIN(E543:P543))</f>
        <v>#REF!</v>
      </c>
    </row>
    <row r="544" spans="18:18">
      <c r="R544" s="137" t="e" cm="1">
        <f t="array" ref="R544">_xlfn._xlws.FILTER(#REF!, E544:P544=MIN(E544:P544))</f>
        <v>#REF!</v>
      </c>
    </row>
    <row r="545" spans="18:18">
      <c r="R545" s="137" t="e" cm="1">
        <f t="array" ref="R545">_xlfn._xlws.FILTER(#REF!, E545:P545=MIN(E545:P545))</f>
        <v>#REF!</v>
      </c>
    </row>
    <row r="546" spans="18:18">
      <c r="R546" s="137" t="e" cm="1">
        <f t="array" ref="R546">_xlfn._xlws.FILTER(#REF!, E546:P546=MIN(E546:P546))</f>
        <v>#REF!</v>
      </c>
    </row>
    <row r="547" spans="18:18">
      <c r="R547" s="137" t="e" cm="1">
        <f t="array" ref="R547">_xlfn._xlws.FILTER(#REF!, E547:P547=MIN(E547:P547))</f>
        <v>#REF!</v>
      </c>
    </row>
    <row r="548" spans="18:18">
      <c r="R548" s="137" t="e" cm="1">
        <f t="array" ref="R548">_xlfn._xlws.FILTER(#REF!, E548:P548=MIN(E548:P548))</f>
        <v>#REF!</v>
      </c>
    </row>
    <row r="549" spans="18:18">
      <c r="R549" s="137" t="e" cm="1">
        <f t="array" ref="R549">_xlfn._xlws.FILTER(#REF!, E549:P549=MIN(E549:P549))</f>
        <v>#REF!</v>
      </c>
    </row>
    <row r="550" spans="18:18">
      <c r="R550" s="137" t="e" cm="1">
        <f t="array" ref="R550">_xlfn._xlws.FILTER(#REF!, E550:P550=MIN(E550:P550))</f>
        <v>#REF!</v>
      </c>
    </row>
    <row r="551" spans="18:18">
      <c r="R551" s="137" t="e" cm="1">
        <f t="array" ref="R551">_xlfn._xlws.FILTER(#REF!, E551:P551=MIN(E551:P551))</f>
        <v>#REF!</v>
      </c>
    </row>
    <row r="552" spans="18:18">
      <c r="R552" s="137" t="e" cm="1">
        <f t="array" ref="R552">_xlfn._xlws.FILTER(#REF!, E552:P552=MIN(E552:P552))</f>
        <v>#REF!</v>
      </c>
    </row>
    <row r="553" spans="18:18">
      <c r="R553" s="137" t="e" cm="1">
        <f t="array" ref="R553">_xlfn._xlws.FILTER(#REF!, E553:P553=MIN(E553:P553))</f>
        <v>#REF!</v>
      </c>
    </row>
    <row r="554" spans="18:18">
      <c r="R554" s="137" t="e" cm="1">
        <f t="array" ref="R554">_xlfn._xlws.FILTER(#REF!, E554:P554=MIN(E554:P554))</f>
        <v>#REF!</v>
      </c>
    </row>
    <row r="555" spans="18:18">
      <c r="R555" s="137" t="e" cm="1">
        <f t="array" ref="R555">_xlfn._xlws.FILTER(#REF!, E555:P555=MIN(E555:P555))</f>
        <v>#REF!</v>
      </c>
    </row>
    <row r="556" spans="18:18">
      <c r="R556" s="137" t="e" cm="1">
        <f t="array" ref="R556">_xlfn._xlws.FILTER(#REF!, E556:P556=MIN(E556:P556))</f>
        <v>#REF!</v>
      </c>
    </row>
    <row r="557" spans="18:18">
      <c r="R557" s="137" t="e" cm="1">
        <f t="array" ref="R557">_xlfn._xlws.FILTER(#REF!, E557:P557=MIN(E557:P557))</f>
        <v>#REF!</v>
      </c>
    </row>
    <row r="558" spans="18:18">
      <c r="R558" s="137" t="e" cm="1">
        <f t="array" ref="R558">_xlfn._xlws.FILTER(#REF!, E558:P558=MIN(E558:P558))</f>
        <v>#REF!</v>
      </c>
    </row>
    <row r="559" spans="18:18">
      <c r="R559" s="137" t="e" cm="1">
        <f t="array" ref="R559">_xlfn._xlws.FILTER(#REF!, E559:P559=MIN(E559:P559))</f>
        <v>#REF!</v>
      </c>
    </row>
    <row r="560" spans="18:18">
      <c r="R560" s="137" t="e" cm="1">
        <f t="array" ref="R560">_xlfn._xlws.FILTER(#REF!, E560:P560=MIN(E560:P560))</f>
        <v>#REF!</v>
      </c>
    </row>
    <row r="561" spans="18:18">
      <c r="R561" s="137" t="e" cm="1">
        <f t="array" ref="R561">_xlfn._xlws.FILTER(#REF!, E561:P561=MIN(E561:P561))</f>
        <v>#REF!</v>
      </c>
    </row>
    <row r="562" spans="18:18">
      <c r="R562" s="137" t="e" cm="1">
        <f t="array" ref="R562">_xlfn._xlws.FILTER(#REF!, E562:P562=MIN(E562:P562))</f>
        <v>#REF!</v>
      </c>
    </row>
    <row r="563" spans="18:18">
      <c r="R563" s="137" t="e" cm="1">
        <f t="array" ref="R563">_xlfn._xlws.FILTER(#REF!, E563:P563=MIN(E563:P563))</f>
        <v>#REF!</v>
      </c>
    </row>
    <row r="564" spans="18:18">
      <c r="R564" s="137" t="e" cm="1">
        <f t="array" ref="R564">_xlfn._xlws.FILTER(#REF!, E564:P564=MIN(E564:P564))</f>
        <v>#REF!</v>
      </c>
    </row>
    <row r="565" spans="18:18">
      <c r="R565" s="137" t="e" cm="1">
        <f t="array" ref="R565">_xlfn._xlws.FILTER(#REF!, E565:P565=MIN(E565:P565))</f>
        <v>#REF!</v>
      </c>
    </row>
    <row r="566" spans="18:18">
      <c r="R566" s="137" t="e" cm="1">
        <f t="array" ref="R566">_xlfn._xlws.FILTER(#REF!, E566:P566=MIN(E566:P566))</f>
        <v>#REF!</v>
      </c>
    </row>
    <row r="567" spans="18:18">
      <c r="R567" s="137" t="e" cm="1">
        <f t="array" ref="R567">_xlfn._xlws.FILTER(#REF!, E567:P567=MIN(E567:P567))</f>
        <v>#REF!</v>
      </c>
    </row>
    <row r="568" spans="18:18">
      <c r="R568" s="137" t="e" cm="1">
        <f t="array" ref="R568">_xlfn._xlws.FILTER(#REF!, E568:P568=MIN(E568:P568))</f>
        <v>#REF!</v>
      </c>
    </row>
    <row r="569" spans="18:18">
      <c r="R569" s="137" t="e" cm="1">
        <f t="array" ref="R569">_xlfn._xlws.FILTER(#REF!, E569:P569=MIN(E569:P569))</f>
        <v>#REF!</v>
      </c>
    </row>
    <row r="570" spans="18:18">
      <c r="R570" s="137" t="e" cm="1">
        <f t="array" ref="R570">_xlfn._xlws.FILTER(#REF!, E570:P570=MIN(E570:P570))</f>
        <v>#REF!</v>
      </c>
    </row>
    <row r="571" spans="18:18">
      <c r="R571" s="137" t="e" cm="1">
        <f t="array" ref="R571">_xlfn._xlws.FILTER(#REF!, E571:P571=MIN(E571:P571))</f>
        <v>#REF!</v>
      </c>
    </row>
    <row r="572" spans="18:18">
      <c r="R572" s="137" t="e" cm="1">
        <f t="array" ref="R572">_xlfn._xlws.FILTER(#REF!, E572:P572=MIN(E572:P572))</f>
        <v>#REF!</v>
      </c>
    </row>
    <row r="573" spans="18:18">
      <c r="R573" s="137" t="e" cm="1">
        <f t="array" ref="R573">_xlfn._xlws.FILTER(#REF!, E573:P573=MIN(E573:P573))</f>
        <v>#REF!</v>
      </c>
    </row>
    <row r="574" spans="18:18">
      <c r="R574" s="137" t="e" cm="1">
        <f t="array" ref="R574">_xlfn._xlws.FILTER(#REF!, E574:P574=MIN(E574:P574))</f>
        <v>#REF!</v>
      </c>
    </row>
    <row r="575" spans="18:18">
      <c r="R575" s="137" t="e" cm="1">
        <f t="array" ref="R575">_xlfn._xlws.FILTER(#REF!, E575:P575=MIN(E575:P575))</f>
        <v>#REF!</v>
      </c>
    </row>
    <row r="576" spans="18:18">
      <c r="R576" s="137" t="e" cm="1">
        <f t="array" ref="R576">_xlfn._xlws.FILTER(#REF!, E576:P576=MIN(E576:P576))</f>
        <v>#REF!</v>
      </c>
    </row>
    <row r="577" spans="18:18">
      <c r="R577" s="137" t="e" cm="1">
        <f t="array" ref="R577">_xlfn._xlws.FILTER(#REF!, E577:P577=MIN(E577:P577))</f>
        <v>#REF!</v>
      </c>
    </row>
    <row r="578" spans="18:18">
      <c r="R578" s="137" t="e" cm="1">
        <f t="array" ref="R578">_xlfn._xlws.FILTER(#REF!, E578:P578=MIN(E578:P578))</f>
        <v>#REF!</v>
      </c>
    </row>
    <row r="579" spans="18:18">
      <c r="R579" s="137" t="e" cm="1">
        <f t="array" ref="R579">_xlfn._xlws.FILTER(#REF!, E579:P579=MIN(E579:P579))</f>
        <v>#REF!</v>
      </c>
    </row>
    <row r="580" spans="18:18">
      <c r="R580" s="137" t="e" cm="1">
        <f t="array" ref="R580">_xlfn._xlws.FILTER(#REF!, E580:P580=MIN(E580:P580))</f>
        <v>#REF!</v>
      </c>
    </row>
    <row r="581" spans="18:18">
      <c r="R581" s="137" t="e" cm="1">
        <f t="array" ref="R581">_xlfn._xlws.FILTER(#REF!, E581:P581=MIN(E581:P581))</f>
        <v>#REF!</v>
      </c>
    </row>
    <row r="582" spans="18:18">
      <c r="R582" s="137" t="e" cm="1">
        <f t="array" ref="R582">_xlfn._xlws.FILTER(#REF!, E582:P582=MIN(E582:P582))</f>
        <v>#REF!</v>
      </c>
    </row>
    <row r="583" spans="18:18">
      <c r="R583" s="137" t="e" cm="1">
        <f t="array" ref="R583">_xlfn._xlws.FILTER(#REF!, E583:P583=MIN(E583:P583))</f>
        <v>#REF!</v>
      </c>
    </row>
    <row r="584" spans="18:18">
      <c r="R584" s="137" t="e" cm="1">
        <f t="array" ref="R584">_xlfn._xlws.FILTER(#REF!, E584:P584=MIN(E584:P584))</f>
        <v>#REF!</v>
      </c>
    </row>
    <row r="585" spans="18:18">
      <c r="R585" s="137" t="e" cm="1">
        <f t="array" ref="R585">_xlfn._xlws.FILTER(#REF!, E585:P585=MIN(E585:P585))</f>
        <v>#REF!</v>
      </c>
    </row>
    <row r="586" spans="18:18">
      <c r="R586" s="137" t="e" cm="1">
        <f t="array" ref="R586">_xlfn._xlws.FILTER(#REF!, E586:P586=MIN(E586:P586))</f>
        <v>#REF!</v>
      </c>
    </row>
    <row r="587" spans="18:18">
      <c r="R587" s="137" t="e" cm="1">
        <f t="array" ref="R587">_xlfn._xlws.FILTER(#REF!, E587:P587=MIN(E587:P587))</f>
        <v>#REF!</v>
      </c>
    </row>
    <row r="588" spans="18:18">
      <c r="R588" s="137" t="e" cm="1">
        <f t="array" ref="R588">_xlfn._xlws.FILTER(#REF!, E588:P588=MIN(E588:P588))</f>
        <v>#REF!</v>
      </c>
    </row>
    <row r="589" spans="18:18">
      <c r="R589" s="137" t="e" cm="1">
        <f t="array" ref="R589">_xlfn._xlws.FILTER(#REF!, E589:P589=MIN(E589:P589))</f>
        <v>#REF!</v>
      </c>
    </row>
    <row r="590" spans="18:18">
      <c r="R590" s="137" t="e" cm="1">
        <f t="array" ref="R590">_xlfn._xlws.FILTER(#REF!, E590:P590=MIN(E590:P590))</f>
        <v>#REF!</v>
      </c>
    </row>
    <row r="591" spans="18:18">
      <c r="R591" s="137" t="e" cm="1">
        <f t="array" ref="R591">_xlfn._xlws.FILTER(#REF!, E591:P591=MIN(E591:P591))</f>
        <v>#REF!</v>
      </c>
    </row>
    <row r="592" spans="18:18">
      <c r="R592" s="137" t="e" cm="1">
        <f t="array" ref="R592">_xlfn._xlws.FILTER(#REF!, E592:P592=MIN(E592:P592))</f>
        <v>#REF!</v>
      </c>
    </row>
    <row r="593" spans="18:18">
      <c r="R593" s="137" t="e" cm="1">
        <f t="array" ref="R593">_xlfn._xlws.FILTER(#REF!, E593:P593=MIN(E593:P593))</f>
        <v>#REF!</v>
      </c>
    </row>
    <row r="594" spans="18:18">
      <c r="R594" s="137" t="e" cm="1">
        <f t="array" ref="R594">_xlfn._xlws.FILTER(#REF!, E594:P594=MIN(E594:P594))</f>
        <v>#REF!</v>
      </c>
    </row>
    <row r="595" spans="18:18">
      <c r="R595" s="137" t="e" cm="1">
        <f t="array" ref="R595">_xlfn._xlws.FILTER(#REF!, E595:P595=MIN(E595:P595))</f>
        <v>#REF!</v>
      </c>
    </row>
    <row r="596" spans="18:18">
      <c r="R596" s="137" t="e" cm="1">
        <f t="array" ref="R596">_xlfn._xlws.FILTER(#REF!, E596:P596=MIN(E596:P596))</f>
        <v>#REF!</v>
      </c>
    </row>
    <row r="597" spans="18:18">
      <c r="R597" s="137" t="e" cm="1">
        <f t="array" ref="R597">_xlfn._xlws.FILTER(#REF!, E597:P597=MIN(E597:P597))</f>
        <v>#REF!</v>
      </c>
    </row>
    <row r="598" spans="18:18">
      <c r="R598" s="137" t="e" cm="1">
        <f t="array" ref="R598">_xlfn._xlws.FILTER(#REF!, E598:P598=MIN(E598:P598))</f>
        <v>#REF!</v>
      </c>
    </row>
    <row r="599" spans="18:18">
      <c r="R599" s="137" t="e" cm="1">
        <f t="array" ref="R599">_xlfn._xlws.FILTER(#REF!, E599:P599=MIN(E599:P599))</f>
        <v>#REF!</v>
      </c>
    </row>
    <row r="600" spans="18:18">
      <c r="R600" s="137" t="e" cm="1">
        <f t="array" ref="R600">_xlfn._xlws.FILTER(#REF!, E600:P600=MIN(E600:P600))</f>
        <v>#REF!</v>
      </c>
    </row>
    <row r="601" spans="18:18">
      <c r="R601" s="137" t="e" cm="1">
        <f t="array" ref="R601">_xlfn._xlws.FILTER(#REF!, E601:P601=MIN(E601:P601))</f>
        <v>#REF!</v>
      </c>
    </row>
    <row r="602" spans="18:18">
      <c r="R602" s="137" t="e" cm="1">
        <f t="array" ref="R602">_xlfn._xlws.FILTER(#REF!, E602:P602=MIN(E602:P602))</f>
        <v>#REF!</v>
      </c>
    </row>
    <row r="603" spans="18:18">
      <c r="R603" s="137" t="e" cm="1">
        <f t="array" ref="R603">_xlfn._xlws.FILTER(#REF!, E603:P603=MIN(E603:P603))</f>
        <v>#REF!</v>
      </c>
    </row>
    <row r="604" spans="18:18">
      <c r="R604" s="137" t="e" cm="1">
        <f t="array" ref="R604">_xlfn._xlws.FILTER(#REF!, E604:P604=MIN(E604:P604))</f>
        <v>#REF!</v>
      </c>
    </row>
    <row r="605" spans="18:18">
      <c r="R605" s="137" t="e" cm="1">
        <f t="array" ref="R605">_xlfn._xlws.FILTER(#REF!, E605:P605=MIN(E605:P605))</f>
        <v>#REF!</v>
      </c>
    </row>
    <row r="606" spans="18:18">
      <c r="R606" s="137" t="e" cm="1">
        <f t="array" ref="R606">_xlfn._xlws.FILTER(#REF!, E606:P606=MIN(E606:P606))</f>
        <v>#REF!</v>
      </c>
    </row>
    <row r="607" spans="18:18">
      <c r="R607" s="137" t="e" cm="1">
        <f t="array" ref="R607">_xlfn._xlws.FILTER(#REF!, E607:P607=MIN(E607:P607))</f>
        <v>#REF!</v>
      </c>
    </row>
    <row r="608" spans="18:18">
      <c r="R608" s="137" t="e" cm="1">
        <f t="array" ref="R608">_xlfn._xlws.FILTER(#REF!, E608:P608=MIN(E608:P608))</f>
        <v>#REF!</v>
      </c>
    </row>
    <row r="609" spans="18:18">
      <c r="R609" s="137" t="e" cm="1">
        <f t="array" ref="R609">_xlfn._xlws.FILTER(#REF!, E609:P609=MIN(E609:P609))</f>
        <v>#REF!</v>
      </c>
    </row>
    <row r="610" spans="18:18">
      <c r="R610" s="137" t="e" cm="1">
        <f t="array" ref="R610">_xlfn._xlws.FILTER(#REF!, E610:P610=MIN(E610:P610))</f>
        <v>#REF!</v>
      </c>
    </row>
    <row r="611" spans="18:18">
      <c r="R611" s="137" t="e" cm="1">
        <f t="array" ref="R611">_xlfn._xlws.FILTER(#REF!, E611:P611=MIN(E611:P611))</f>
        <v>#REF!</v>
      </c>
    </row>
    <row r="612" spans="18:18">
      <c r="R612" s="137" t="e" cm="1">
        <f t="array" ref="R612">_xlfn._xlws.FILTER(#REF!, E612:P612=MIN(E612:P612))</f>
        <v>#REF!</v>
      </c>
    </row>
    <row r="613" spans="18:18">
      <c r="R613" s="137" t="e" cm="1">
        <f t="array" ref="R613">_xlfn._xlws.FILTER(#REF!, E613:P613=MIN(E613:P613))</f>
        <v>#REF!</v>
      </c>
    </row>
    <row r="614" spans="18:18">
      <c r="R614" s="137" t="e" cm="1">
        <f t="array" ref="R614">_xlfn._xlws.FILTER(#REF!, E614:P614=MIN(E614:P614))</f>
        <v>#REF!</v>
      </c>
    </row>
    <row r="615" spans="18:18">
      <c r="R615" s="137" t="e" cm="1">
        <f t="array" ref="R615">_xlfn._xlws.FILTER(#REF!, E615:P615=MIN(E615:P615))</f>
        <v>#REF!</v>
      </c>
    </row>
    <row r="616" spans="18:18">
      <c r="R616" s="137" t="e" cm="1">
        <f t="array" ref="R616">_xlfn._xlws.FILTER(#REF!, E616:P616=MIN(E616:P616))</f>
        <v>#REF!</v>
      </c>
    </row>
    <row r="617" spans="18:18">
      <c r="R617" s="137" t="e" cm="1">
        <f t="array" ref="R617">_xlfn._xlws.FILTER(#REF!, E617:P617=MIN(E617:P617))</f>
        <v>#REF!</v>
      </c>
    </row>
    <row r="618" spans="18:18">
      <c r="R618" s="137" t="e" cm="1">
        <f t="array" ref="R618">_xlfn._xlws.FILTER(#REF!, E618:P618=MIN(E618:P618))</f>
        <v>#REF!</v>
      </c>
    </row>
    <row r="619" spans="18:18">
      <c r="R619" s="137" t="e" cm="1">
        <f t="array" ref="R619">_xlfn._xlws.FILTER(#REF!, E619:P619=MIN(E619:P619))</f>
        <v>#REF!</v>
      </c>
    </row>
    <row r="620" spans="18:18">
      <c r="R620" s="137" t="e" cm="1">
        <f t="array" ref="R620">_xlfn._xlws.FILTER(#REF!, E620:P620=MIN(E620:P620))</f>
        <v>#REF!</v>
      </c>
    </row>
    <row r="621" spans="18:18">
      <c r="R621" s="137" t="e" cm="1">
        <f t="array" ref="R621">_xlfn._xlws.FILTER(#REF!, E621:P621=MIN(E621:P621))</f>
        <v>#REF!</v>
      </c>
    </row>
    <row r="622" spans="18:18">
      <c r="R622" s="137" t="e" cm="1">
        <f t="array" ref="R622">_xlfn._xlws.FILTER(#REF!, E622:P622=MIN(E622:P622))</f>
        <v>#REF!</v>
      </c>
    </row>
    <row r="623" spans="18:18">
      <c r="R623" s="137" t="e" cm="1">
        <f t="array" ref="R623">_xlfn._xlws.FILTER(#REF!, E623:P623=MIN(E623:P623))</f>
        <v>#REF!</v>
      </c>
    </row>
    <row r="624" spans="18:18">
      <c r="R624" s="137" t="e" cm="1">
        <f t="array" ref="R624">_xlfn._xlws.FILTER(#REF!, E624:P624=MIN(E624:P624))</f>
        <v>#REF!</v>
      </c>
    </row>
    <row r="625" spans="18:18">
      <c r="R625" s="137" t="e" cm="1">
        <f t="array" ref="R625">_xlfn._xlws.FILTER(#REF!, E625:P625=MIN(E625:P625))</f>
        <v>#REF!</v>
      </c>
    </row>
    <row r="626" spans="18:18">
      <c r="R626" s="137" t="e" cm="1">
        <f t="array" ref="R626">_xlfn._xlws.FILTER(#REF!, E626:P626=MIN(E626:P626))</f>
        <v>#REF!</v>
      </c>
    </row>
    <row r="627" spans="18:18">
      <c r="R627" s="137" t="e" cm="1">
        <f t="array" ref="R627">_xlfn._xlws.FILTER(#REF!, E627:P627=MIN(E627:P627))</f>
        <v>#REF!</v>
      </c>
    </row>
    <row r="628" spans="18:18">
      <c r="R628" s="137" t="e" cm="1">
        <f t="array" ref="R628">_xlfn._xlws.FILTER(#REF!, E628:P628=MIN(E628:P628))</f>
        <v>#REF!</v>
      </c>
    </row>
    <row r="629" spans="18:18">
      <c r="R629" s="137" t="e" cm="1">
        <f t="array" ref="R629">_xlfn._xlws.FILTER(#REF!, E629:P629=MIN(E629:P629))</f>
        <v>#REF!</v>
      </c>
    </row>
    <row r="630" spans="18:18">
      <c r="R630" s="137" t="e" cm="1">
        <f t="array" ref="R630">_xlfn._xlws.FILTER(#REF!, E630:P630=MIN(E630:P630))</f>
        <v>#REF!</v>
      </c>
    </row>
    <row r="631" spans="18:18">
      <c r="R631" s="137" t="e" cm="1">
        <f t="array" ref="R631">_xlfn._xlws.FILTER(#REF!, E631:P631=MIN(E631:P631))</f>
        <v>#REF!</v>
      </c>
    </row>
    <row r="632" spans="18:18">
      <c r="R632" s="137" t="e" cm="1">
        <f t="array" ref="R632">_xlfn._xlws.FILTER(#REF!, E632:P632=MIN(E632:P632))</f>
        <v>#REF!</v>
      </c>
    </row>
    <row r="633" spans="18:18">
      <c r="R633" s="137" t="e" cm="1">
        <f t="array" ref="R633">_xlfn._xlws.FILTER(#REF!, E633:P633=MIN(E633:P633))</f>
        <v>#REF!</v>
      </c>
    </row>
    <row r="634" spans="18:18">
      <c r="R634" s="137" t="e" cm="1">
        <f t="array" ref="R634">_xlfn._xlws.FILTER(#REF!, E634:P634=MIN(E634:P634))</f>
        <v>#REF!</v>
      </c>
    </row>
    <row r="635" spans="18:18">
      <c r="R635" s="137" t="e" cm="1">
        <f t="array" ref="R635">_xlfn._xlws.FILTER(#REF!, E635:P635=MIN(E635:P635))</f>
        <v>#REF!</v>
      </c>
    </row>
    <row r="636" spans="18:18">
      <c r="R636" s="137" t="e" cm="1">
        <f t="array" ref="R636">_xlfn._xlws.FILTER(#REF!, E636:P636=MIN(E636:P636))</f>
        <v>#REF!</v>
      </c>
    </row>
    <row r="637" spans="18:18">
      <c r="R637" s="137" t="e" cm="1">
        <f t="array" ref="R637">_xlfn._xlws.FILTER(#REF!, E637:P637=MIN(E637:P637))</f>
        <v>#REF!</v>
      </c>
    </row>
    <row r="638" spans="18:18">
      <c r="R638" s="137" t="e" cm="1">
        <f t="array" ref="R638">_xlfn._xlws.FILTER(#REF!, E638:P638=MIN(E638:P638))</f>
        <v>#REF!</v>
      </c>
    </row>
    <row r="639" spans="18:18">
      <c r="R639" s="137" t="e" cm="1">
        <f t="array" ref="R639">_xlfn._xlws.FILTER(#REF!, E639:P639=MIN(E639:P639))</f>
        <v>#REF!</v>
      </c>
    </row>
    <row r="640" spans="18:18">
      <c r="R640" s="137" t="e" cm="1">
        <f t="array" ref="R640">_xlfn._xlws.FILTER(#REF!, E640:P640=MIN(E640:P640))</f>
        <v>#REF!</v>
      </c>
    </row>
    <row r="641" spans="18:18">
      <c r="R641" s="137" t="e" cm="1">
        <f t="array" ref="R641">_xlfn._xlws.FILTER(#REF!, E641:P641=MIN(E641:P641))</f>
        <v>#REF!</v>
      </c>
    </row>
    <row r="642" spans="18:18">
      <c r="R642" s="137" t="e" cm="1">
        <f t="array" ref="R642">_xlfn._xlws.FILTER(#REF!, E642:P642=MIN(E642:P642))</f>
        <v>#REF!</v>
      </c>
    </row>
    <row r="643" spans="18:18">
      <c r="R643" s="137" t="e" cm="1">
        <f t="array" ref="R643">_xlfn._xlws.FILTER(#REF!, E643:P643=MIN(E643:P643))</f>
        <v>#REF!</v>
      </c>
    </row>
    <row r="644" spans="18:18">
      <c r="R644" s="137" t="e" cm="1">
        <f t="array" ref="R644">_xlfn._xlws.FILTER(#REF!, E644:P644=MIN(E644:P644))</f>
        <v>#REF!</v>
      </c>
    </row>
    <row r="645" spans="18:18">
      <c r="R645" s="137" t="e" cm="1">
        <f t="array" ref="R645">_xlfn._xlws.FILTER(#REF!, E645:P645=MIN(E645:P645))</f>
        <v>#REF!</v>
      </c>
    </row>
    <row r="646" spans="18:18">
      <c r="R646" s="137" t="e" cm="1">
        <f t="array" ref="R646">_xlfn._xlws.FILTER(#REF!, E646:P646=MIN(E646:P646))</f>
        <v>#REF!</v>
      </c>
    </row>
    <row r="647" spans="18:18">
      <c r="R647" s="137" t="e" cm="1">
        <f t="array" ref="R647">_xlfn._xlws.FILTER(#REF!, E647:P647=MIN(E647:P647))</f>
        <v>#REF!</v>
      </c>
    </row>
    <row r="648" spans="18:18">
      <c r="R648" s="137" t="e" cm="1">
        <f t="array" ref="R648">_xlfn._xlws.FILTER(#REF!, E648:P648=MIN(E648:P648))</f>
        <v>#REF!</v>
      </c>
    </row>
    <row r="649" spans="18:18">
      <c r="R649" s="137" t="e" cm="1">
        <f t="array" ref="R649">_xlfn._xlws.FILTER(#REF!, E649:P649=MIN(E649:P649))</f>
        <v>#REF!</v>
      </c>
    </row>
    <row r="650" spans="18:18">
      <c r="R650" s="137" t="e" cm="1">
        <f t="array" ref="R650">_xlfn._xlws.FILTER(#REF!, E650:P650=MIN(E650:P650))</f>
        <v>#REF!</v>
      </c>
    </row>
    <row r="651" spans="18:18">
      <c r="R651" s="137" t="e" cm="1">
        <f t="array" ref="R651">_xlfn._xlws.FILTER(#REF!, E651:P651=MIN(E651:P651))</f>
        <v>#REF!</v>
      </c>
    </row>
    <row r="652" spans="18:18">
      <c r="R652" s="137" t="e" cm="1">
        <f t="array" ref="R652">_xlfn._xlws.FILTER(#REF!, E652:P652=MIN(E652:P652))</f>
        <v>#REF!</v>
      </c>
    </row>
    <row r="653" spans="18:18">
      <c r="R653" s="137" t="e" cm="1">
        <f t="array" ref="R653">_xlfn._xlws.FILTER(#REF!, E653:P653=MIN(E653:P653))</f>
        <v>#REF!</v>
      </c>
    </row>
    <row r="654" spans="18:18">
      <c r="R654" s="137" t="e" cm="1">
        <f t="array" ref="R654">_xlfn._xlws.FILTER(#REF!, E654:P654=MIN(E654:P654))</f>
        <v>#REF!</v>
      </c>
    </row>
    <row r="655" spans="18:18">
      <c r="R655" s="137" t="e" cm="1">
        <f t="array" ref="R655">_xlfn._xlws.FILTER(#REF!, E655:P655=MIN(E655:P655))</f>
        <v>#REF!</v>
      </c>
    </row>
    <row r="656" spans="18:18">
      <c r="R656" s="137" t="e" cm="1">
        <f t="array" ref="R656">_xlfn._xlws.FILTER(#REF!, E656:P656=MIN(E656:P656))</f>
        <v>#REF!</v>
      </c>
    </row>
    <row r="657" spans="18:18">
      <c r="R657" s="137" t="e" cm="1">
        <f t="array" ref="R657">_xlfn._xlws.FILTER(#REF!, E657:P657=MIN(E657:P657))</f>
        <v>#REF!</v>
      </c>
    </row>
    <row r="658" spans="18:18">
      <c r="R658" s="137" t="e" cm="1">
        <f t="array" ref="R658">_xlfn._xlws.FILTER(#REF!, E658:P658=MIN(E658:P658))</f>
        <v>#REF!</v>
      </c>
    </row>
    <row r="659" spans="18:18">
      <c r="R659" s="137" t="e" cm="1">
        <f t="array" ref="R659">_xlfn._xlws.FILTER(#REF!, E659:P659=MIN(E659:P659))</f>
        <v>#REF!</v>
      </c>
    </row>
    <row r="660" spans="18:18">
      <c r="R660" s="137" t="e" cm="1">
        <f t="array" ref="R660">_xlfn._xlws.FILTER(#REF!, E660:P660=MIN(E660:P660))</f>
        <v>#REF!</v>
      </c>
    </row>
    <row r="661" spans="18:18">
      <c r="R661" s="137" t="e" cm="1">
        <f t="array" ref="R661">_xlfn._xlws.FILTER(#REF!, E661:P661=MIN(E661:P661))</f>
        <v>#REF!</v>
      </c>
    </row>
    <row r="662" spans="18:18">
      <c r="R662" s="137" t="e" cm="1">
        <f t="array" ref="R662">_xlfn._xlws.FILTER(#REF!, E662:P662=MIN(E662:P662))</f>
        <v>#REF!</v>
      </c>
    </row>
    <row r="663" spans="18:18">
      <c r="R663" s="137" t="e" cm="1">
        <f t="array" ref="R663">_xlfn._xlws.FILTER(#REF!, E663:P663=MIN(E663:P663))</f>
        <v>#REF!</v>
      </c>
    </row>
    <row r="664" spans="18:18">
      <c r="R664" s="137" t="e" cm="1">
        <f t="array" ref="R664">_xlfn._xlws.FILTER(#REF!, E664:P664=MIN(E664:P664))</f>
        <v>#REF!</v>
      </c>
    </row>
    <row r="665" spans="18:18">
      <c r="R665" s="137" t="e" cm="1">
        <f t="array" ref="R665">_xlfn._xlws.FILTER(#REF!, E665:P665=MIN(E665:P665))</f>
        <v>#REF!</v>
      </c>
    </row>
    <row r="666" spans="18:18">
      <c r="R666" s="137" t="e" cm="1">
        <f t="array" ref="R666">_xlfn._xlws.FILTER(#REF!, E666:P666=MIN(E666:P666))</f>
        <v>#REF!</v>
      </c>
    </row>
    <row r="667" spans="18:18">
      <c r="R667" s="137" t="e" cm="1">
        <f t="array" ref="R667">_xlfn._xlws.FILTER(#REF!, E667:P667=MIN(E667:P667))</f>
        <v>#REF!</v>
      </c>
    </row>
    <row r="668" spans="18:18">
      <c r="R668" s="137" t="e" cm="1">
        <f t="array" ref="R668">_xlfn._xlws.FILTER(#REF!, E668:P668=MIN(E668:P668))</f>
        <v>#REF!</v>
      </c>
    </row>
    <row r="669" spans="18:18">
      <c r="R669" s="137" t="e" cm="1">
        <f t="array" ref="R669">_xlfn._xlws.FILTER(#REF!, E669:P669=MIN(E669:P669))</f>
        <v>#REF!</v>
      </c>
    </row>
    <row r="670" spans="18:18">
      <c r="R670" s="137" t="e" cm="1">
        <f t="array" ref="R670">_xlfn._xlws.FILTER(#REF!, E670:P670=MIN(E670:P670))</f>
        <v>#REF!</v>
      </c>
    </row>
    <row r="671" spans="18:18">
      <c r="R671" s="137" t="e" cm="1">
        <f t="array" ref="R671">_xlfn._xlws.FILTER(#REF!, E671:P671=MIN(E671:P671))</f>
        <v>#REF!</v>
      </c>
    </row>
    <row r="672" spans="18:18">
      <c r="R672" s="137" t="e" cm="1">
        <f t="array" ref="R672">_xlfn._xlws.FILTER(#REF!, E672:P672=MIN(E672:P672))</f>
        <v>#REF!</v>
      </c>
    </row>
    <row r="673" spans="18:18">
      <c r="R673" s="137" t="e" cm="1">
        <f t="array" ref="R673">_xlfn._xlws.FILTER(#REF!, E673:P673=MIN(E673:P673))</f>
        <v>#REF!</v>
      </c>
    </row>
    <row r="674" spans="18:18">
      <c r="R674" s="137" t="e" cm="1">
        <f t="array" ref="R674">_xlfn._xlws.FILTER(#REF!, E674:P674=MIN(E674:P674))</f>
        <v>#REF!</v>
      </c>
    </row>
    <row r="675" spans="18:18">
      <c r="R675" s="137" t="e" cm="1">
        <f t="array" ref="R675">_xlfn._xlws.FILTER(#REF!, E675:P675=MIN(E675:P675))</f>
        <v>#REF!</v>
      </c>
    </row>
    <row r="676" spans="18:18">
      <c r="R676" s="137" t="e" cm="1">
        <f t="array" ref="R676">_xlfn._xlws.FILTER(#REF!, E676:P676=MIN(E676:P676))</f>
        <v>#REF!</v>
      </c>
    </row>
    <row r="677" spans="18:18">
      <c r="R677" s="137" t="e" cm="1">
        <f t="array" ref="R677">_xlfn._xlws.FILTER(#REF!, E677:P677=MIN(E677:P677))</f>
        <v>#REF!</v>
      </c>
    </row>
    <row r="678" spans="18:18">
      <c r="R678" s="137" t="e" cm="1">
        <f t="array" ref="R678">_xlfn._xlws.FILTER(#REF!, E678:P678=MIN(E678:P678))</f>
        <v>#REF!</v>
      </c>
    </row>
    <row r="679" spans="18:18">
      <c r="R679" s="137" t="e" cm="1">
        <f t="array" ref="R679">_xlfn._xlws.FILTER(#REF!, E679:P679=MIN(E679:P679))</f>
        <v>#REF!</v>
      </c>
    </row>
    <row r="680" spans="18:18">
      <c r="R680" s="137" t="e" cm="1">
        <f t="array" ref="R680">_xlfn._xlws.FILTER(#REF!, E680:P680=MIN(E680:P680))</f>
        <v>#REF!</v>
      </c>
    </row>
    <row r="681" spans="18:18">
      <c r="R681" s="137" t="e" cm="1">
        <f t="array" ref="R681">_xlfn._xlws.FILTER(#REF!, E681:P681=MIN(E681:P681))</f>
        <v>#REF!</v>
      </c>
    </row>
    <row r="682" spans="18:18">
      <c r="R682" s="137" t="e" cm="1">
        <f t="array" ref="R682">_xlfn._xlws.FILTER(#REF!, E682:P682=MIN(E682:P682))</f>
        <v>#REF!</v>
      </c>
    </row>
    <row r="683" spans="18:18">
      <c r="R683" s="137" t="e" cm="1">
        <f t="array" ref="R683">_xlfn._xlws.FILTER(#REF!, E683:P683=MIN(E683:P683))</f>
        <v>#REF!</v>
      </c>
    </row>
    <row r="684" spans="18:18">
      <c r="R684" s="137" t="e" cm="1">
        <f t="array" ref="R684">_xlfn._xlws.FILTER(#REF!, E684:P684=MIN(E684:P684))</f>
        <v>#REF!</v>
      </c>
    </row>
    <row r="685" spans="18:18">
      <c r="R685" s="137" t="e" cm="1">
        <f t="array" ref="R685">_xlfn._xlws.FILTER(#REF!, E685:P685=MIN(E685:P685))</f>
        <v>#REF!</v>
      </c>
    </row>
    <row r="686" spans="18:18">
      <c r="R686" s="137" t="e" cm="1">
        <f t="array" ref="R686">_xlfn._xlws.FILTER(#REF!, E686:P686=MIN(E686:P686))</f>
        <v>#REF!</v>
      </c>
    </row>
    <row r="687" spans="18:18">
      <c r="R687" s="137" t="e" cm="1">
        <f t="array" ref="R687">_xlfn._xlws.FILTER(#REF!, E687:P687=MIN(E687:P687))</f>
        <v>#REF!</v>
      </c>
    </row>
    <row r="688" spans="18:18">
      <c r="R688" s="137" t="e" cm="1">
        <f t="array" ref="R688">_xlfn._xlws.FILTER(#REF!, E688:P688=MIN(E688:P688))</f>
        <v>#REF!</v>
      </c>
    </row>
    <row r="689" spans="18:18">
      <c r="R689" s="137" t="e" cm="1">
        <f t="array" ref="R689">_xlfn._xlws.FILTER(#REF!, E689:P689=MIN(E689:P689))</f>
        <v>#REF!</v>
      </c>
    </row>
    <row r="690" spans="18:18">
      <c r="R690" s="137" t="e" cm="1">
        <f t="array" ref="R690">_xlfn._xlws.FILTER(#REF!, E690:P690=MIN(E690:P690))</f>
        <v>#REF!</v>
      </c>
    </row>
    <row r="691" spans="18:18">
      <c r="R691" s="137" t="e" cm="1">
        <f t="array" ref="R691">_xlfn._xlws.FILTER(#REF!, E691:P691=MIN(E691:P691))</f>
        <v>#REF!</v>
      </c>
    </row>
    <row r="692" spans="18:18">
      <c r="R692" s="137" t="e" cm="1">
        <f t="array" ref="R692">_xlfn._xlws.FILTER(#REF!, E692:P692=MIN(E692:P692))</f>
        <v>#REF!</v>
      </c>
    </row>
    <row r="693" spans="18:18">
      <c r="R693" s="137" t="e" cm="1">
        <f t="array" ref="R693">_xlfn._xlws.FILTER(#REF!, E693:P693=MIN(E693:P693))</f>
        <v>#REF!</v>
      </c>
    </row>
    <row r="694" spans="18:18">
      <c r="R694" s="137" t="e" cm="1">
        <f t="array" ref="R694">_xlfn._xlws.FILTER(#REF!, E694:P694=MIN(E694:P694))</f>
        <v>#REF!</v>
      </c>
    </row>
    <row r="695" spans="18:18">
      <c r="R695" s="137" t="e" cm="1">
        <f t="array" ref="R695">_xlfn._xlws.FILTER(#REF!, E695:P695=MIN(E695:P695))</f>
        <v>#REF!</v>
      </c>
    </row>
    <row r="696" spans="18:18">
      <c r="R696" s="137" t="e" cm="1">
        <f t="array" ref="R696">_xlfn._xlws.FILTER(#REF!, E696:P696=MIN(E696:P696))</f>
        <v>#REF!</v>
      </c>
    </row>
    <row r="697" spans="18:18">
      <c r="R697" s="137" t="e" cm="1">
        <f t="array" ref="R697">_xlfn._xlws.FILTER(#REF!, E697:P697=MIN(E697:P697))</f>
        <v>#REF!</v>
      </c>
    </row>
    <row r="698" spans="18:18">
      <c r="R698" s="137" t="e" cm="1">
        <f t="array" ref="R698">_xlfn._xlws.FILTER(#REF!, E698:P698=MIN(E698:P698))</f>
        <v>#REF!</v>
      </c>
    </row>
    <row r="699" spans="18:18">
      <c r="R699" s="137" t="e" cm="1">
        <f t="array" ref="R699">_xlfn._xlws.FILTER(#REF!, E699:P699=MIN(E699:P699))</f>
        <v>#REF!</v>
      </c>
    </row>
    <row r="700" spans="18:18">
      <c r="R700" s="137" t="e" cm="1">
        <f t="array" ref="R700">_xlfn._xlws.FILTER(#REF!, E700:P700=MIN(E700:P700))</f>
        <v>#REF!</v>
      </c>
    </row>
    <row r="701" spans="18:18">
      <c r="R701" s="137" t="e" cm="1">
        <f t="array" ref="R701">_xlfn._xlws.FILTER(#REF!, E701:P701=MIN(E701:P701))</f>
        <v>#REF!</v>
      </c>
    </row>
    <row r="702" spans="18:18">
      <c r="R702" s="137" t="e" cm="1">
        <f t="array" ref="R702">_xlfn._xlws.FILTER(#REF!, E702:P702=MIN(E702:P702))</f>
        <v>#REF!</v>
      </c>
    </row>
    <row r="703" spans="18:18">
      <c r="R703" s="137" t="e" cm="1">
        <f t="array" ref="R703">_xlfn._xlws.FILTER(#REF!, E703:P703=MIN(E703:P703))</f>
        <v>#REF!</v>
      </c>
    </row>
    <row r="704" spans="18:18">
      <c r="R704" s="137" t="e" cm="1">
        <f t="array" ref="R704">_xlfn._xlws.FILTER(#REF!, E704:P704=MIN(E704:P704))</f>
        <v>#REF!</v>
      </c>
    </row>
    <row r="705" spans="18:18">
      <c r="R705" s="137" t="e" cm="1">
        <f t="array" ref="R705">_xlfn._xlws.FILTER(#REF!, E705:P705=MIN(E705:P705))</f>
        <v>#REF!</v>
      </c>
    </row>
    <row r="706" spans="18:18">
      <c r="R706" s="137" t="e" cm="1">
        <f t="array" ref="R706">_xlfn._xlws.FILTER(#REF!, E706:P706=MIN(E706:P706))</f>
        <v>#REF!</v>
      </c>
    </row>
    <row r="707" spans="18:18">
      <c r="R707" s="137" t="e" cm="1">
        <f t="array" ref="R707">_xlfn._xlws.FILTER(#REF!, E707:P707=MIN(E707:P707))</f>
        <v>#REF!</v>
      </c>
    </row>
    <row r="708" spans="18:18">
      <c r="R708" s="137" t="e" cm="1">
        <f t="array" ref="R708">_xlfn._xlws.FILTER(#REF!, E708:P708=MIN(E708:P708))</f>
        <v>#REF!</v>
      </c>
    </row>
    <row r="709" spans="18:18">
      <c r="R709" s="137" t="e" cm="1">
        <f t="array" ref="R709">_xlfn._xlws.FILTER(#REF!, E709:P709=MIN(E709:P709))</f>
        <v>#REF!</v>
      </c>
    </row>
    <row r="710" spans="18:18">
      <c r="R710" s="137" t="e" cm="1">
        <f t="array" ref="R710">_xlfn._xlws.FILTER(#REF!, E710:P710=MIN(E710:P710))</f>
        <v>#REF!</v>
      </c>
    </row>
    <row r="711" spans="18:18">
      <c r="R711" s="137" t="e" cm="1">
        <f t="array" ref="R711">_xlfn._xlws.FILTER(#REF!, E711:P711=MIN(E711:P711))</f>
        <v>#REF!</v>
      </c>
    </row>
    <row r="712" spans="18:18">
      <c r="R712" s="137" t="e" cm="1">
        <f t="array" ref="R712">_xlfn._xlws.FILTER(#REF!, E712:P712=MIN(E712:P712))</f>
        <v>#REF!</v>
      </c>
    </row>
    <row r="713" spans="18:18">
      <c r="R713" s="137" t="e" cm="1">
        <f t="array" ref="R713">_xlfn._xlws.FILTER(#REF!, E713:P713=MIN(E713:P713))</f>
        <v>#REF!</v>
      </c>
    </row>
    <row r="714" spans="18:18">
      <c r="R714" s="137" t="e" cm="1">
        <f t="array" ref="R714">_xlfn._xlws.FILTER(#REF!, E714:P714=MIN(E714:P714))</f>
        <v>#REF!</v>
      </c>
    </row>
    <row r="715" spans="18:18">
      <c r="R715" s="137" t="e" cm="1">
        <f t="array" ref="R715">_xlfn._xlws.FILTER(#REF!, E715:P715=MIN(E715:P715))</f>
        <v>#REF!</v>
      </c>
    </row>
    <row r="716" spans="18:18">
      <c r="R716" s="137" t="e" cm="1">
        <f t="array" ref="R716">_xlfn._xlws.FILTER(#REF!, E716:P716=MIN(E716:P716))</f>
        <v>#REF!</v>
      </c>
    </row>
    <row r="717" spans="18:18">
      <c r="R717" s="137" t="e" cm="1">
        <f t="array" ref="R717">_xlfn._xlws.FILTER(#REF!, E717:P717=MIN(E717:P717))</f>
        <v>#REF!</v>
      </c>
    </row>
    <row r="718" spans="18:18">
      <c r="R718" s="137" t="e" cm="1">
        <f t="array" ref="R718">_xlfn._xlws.FILTER(#REF!, E718:P718=MIN(E718:P718))</f>
        <v>#REF!</v>
      </c>
    </row>
    <row r="719" spans="18:18">
      <c r="R719" s="137" t="e" cm="1">
        <f t="array" ref="R719">_xlfn._xlws.FILTER(#REF!, E719:P719=MIN(E719:P719))</f>
        <v>#REF!</v>
      </c>
    </row>
    <row r="720" spans="18:18">
      <c r="R720" s="137" t="e" cm="1">
        <f t="array" ref="R720">_xlfn._xlws.FILTER(#REF!, E720:P720=MIN(E720:P720))</f>
        <v>#REF!</v>
      </c>
    </row>
    <row r="721" spans="18:18">
      <c r="R721" s="137" t="e" cm="1">
        <f t="array" ref="R721">_xlfn._xlws.FILTER(#REF!, E721:P721=MIN(E721:P721))</f>
        <v>#REF!</v>
      </c>
    </row>
    <row r="722" spans="18:18">
      <c r="R722" s="137" t="e" cm="1">
        <f t="array" ref="R722">_xlfn._xlws.FILTER(#REF!, E722:P722=MIN(E722:P722))</f>
        <v>#REF!</v>
      </c>
    </row>
    <row r="723" spans="18:18">
      <c r="R723" s="137" t="e" cm="1">
        <f t="array" ref="R723">_xlfn._xlws.FILTER(#REF!, E723:P723=MIN(E723:P723))</f>
        <v>#REF!</v>
      </c>
    </row>
    <row r="724" spans="18:18">
      <c r="R724" s="137" t="e" cm="1">
        <f t="array" ref="R724">_xlfn._xlws.FILTER(#REF!, E724:P724=MIN(E724:P724))</f>
        <v>#REF!</v>
      </c>
    </row>
    <row r="725" spans="18:18">
      <c r="R725" s="137" t="e" cm="1">
        <f t="array" ref="R725">_xlfn._xlws.FILTER(#REF!, E725:P725=MIN(E725:P725))</f>
        <v>#REF!</v>
      </c>
    </row>
    <row r="726" spans="18:18">
      <c r="R726" s="137" t="e" cm="1">
        <f t="array" ref="R726">_xlfn._xlws.FILTER(#REF!, E726:P726=MIN(E726:P726))</f>
        <v>#REF!</v>
      </c>
    </row>
    <row r="727" spans="18:18">
      <c r="R727" s="137" t="e" cm="1">
        <f t="array" ref="R727">_xlfn._xlws.FILTER(#REF!, E727:P727=MIN(E727:P727))</f>
        <v>#REF!</v>
      </c>
    </row>
    <row r="728" spans="18:18">
      <c r="R728" s="137" t="e" cm="1">
        <f t="array" ref="R728">_xlfn._xlws.FILTER(#REF!, E728:P728=MIN(E728:P728))</f>
        <v>#REF!</v>
      </c>
    </row>
    <row r="729" spans="18:18">
      <c r="R729" s="137" t="e" cm="1">
        <f t="array" ref="R729">_xlfn._xlws.FILTER(#REF!, E729:P729=MIN(E729:P729))</f>
        <v>#REF!</v>
      </c>
    </row>
    <row r="730" spans="18:18">
      <c r="R730" s="137" t="e" cm="1">
        <f t="array" ref="R730">_xlfn._xlws.FILTER(#REF!, E730:P730=MIN(E730:P730))</f>
        <v>#REF!</v>
      </c>
    </row>
    <row r="731" spans="18:18">
      <c r="R731" s="137" t="e" cm="1">
        <f t="array" ref="R731">_xlfn._xlws.FILTER(#REF!, E731:P731=MIN(E731:P731))</f>
        <v>#REF!</v>
      </c>
    </row>
    <row r="732" spans="18:18">
      <c r="R732" s="137" t="e" cm="1">
        <f t="array" ref="R732">_xlfn._xlws.FILTER(#REF!, E732:P732=MIN(E732:P732))</f>
        <v>#REF!</v>
      </c>
    </row>
    <row r="733" spans="18:18">
      <c r="R733" s="137" t="e" cm="1">
        <f t="array" ref="R733">_xlfn._xlws.FILTER(#REF!, E733:P733=MIN(E733:P733))</f>
        <v>#REF!</v>
      </c>
    </row>
    <row r="734" spans="18:18">
      <c r="R734" s="137" t="e" cm="1">
        <f t="array" ref="R734">_xlfn._xlws.FILTER(#REF!, E734:P734=MIN(E734:P734))</f>
        <v>#REF!</v>
      </c>
    </row>
    <row r="735" spans="18:18">
      <c r="R735" s="137" t="e" cm="1">
        <f t="array" ref="R735">_xlfn._xlws.FILTER(#REF!, E735:P735=MIN(E735:P735))</f>
        <v>#REF!</v>
      </c>
    </row>
    <row r="736" spans="18:18">
      <c r="R736" s="137" t="e" cm="1">
        <f t="array" ref="R736">_xlfn._xlws.FILTER(#REF!, E736:P736=MIN(E736:P736))</f>
        <v>#REF!</v>
      </c>
    </row>
    <row r="737" spans="18:18">
      <c r="R737" s="137" t="e" cm="1">
        <f t="array" ref="R737">_xlfn._xlws.FILTER(#REF!, E737:P737=MIN(E737:P737))</f>
        <v>#REF!</v>
      </c>
    </row>
    <row r="738" spans="18:18">
      <c r="R738" s="137" t="e" cm="1">
        <f t="array" ref="R738">_xlfn._xlws.FILTER(#REF!, E738:P738=MIN(E738:P738))</f>
        <v>#REF!</v>
      </c>
    </row>
    <row r="739" spans="18:18">
      <c r="R739" s="137" t="e" cm="1">
        <f t="array" ref="R739">_xlfn._xlws.FILTER(#REF!, E739:P739=MIN(E739:P739))</f>
        <v>#REF!</v>
      </c>
    </row>
    <row r="740" spans="18:18">
      <c r="R740" s="137" t="e" cm="1">
        <f t="array" ref="R740">_xlfn._xlws.FILTER(#REF!, E740:P740=MIN(E740:P740))</f>
        <v>#REF!</v>
      </c>
    </row>
    <row r="741" spans="18:18">
      <c r="R741" s="137" t="e" cm="1">
        <f t="array" ref="R741">_xlfn._xlws.FILTER(#REF!, E741:P741=MIN(E741:P741))</f>
        <v>#REF!</v>
      </c>
    </row>
    <row r="742" spans="18:18">
      <c r="R742" s="137" t="e" cm="1">
        <f t="array" ref="R742">_xlfn._xlws.FILTER(#REF!, E742:P742=MIN(E742:P742))</f>
        <v>#REF!</v>
      </c>
    </row>
    <row r="743" spans="18:18">
      <c r="R743" s="137" t="e" cm="1">
        <f t="array" ref="R743">_xlfn._xlws.FILTER(#REF!, E743:P743=MIN(E743:P743))</f>
        <v>#REF!</v>
      </c>
    </row>
    <row r="744" spans="18:18">
      <c r="R744" s="137" t="e" cm="1">
        <f t="array" ref="R744">_xlfn._xlws.FILTER(#REF!, E744:P744=MIN(E744:P744))</f>
        <v>#REF!</v>
      </c>
    </row>
    <row r="745" spans="18:18">
      <c r="R745" s="137" t="e" cm="1">
        <f t="array" ref="R745">_xlfn._xlws.FILTER(#REF!, E745:P745=MIN(E745:P745))</f>
        <v>#REF!</v>
      </c>
    </row>
    <row r="746" spans="18:18">
      <c r="R746" s="137" t="e" cm="1">
        <f t="array" ref="R746">_xlfn._xlws.FILTER(#REF!, E746:P746=MIN(E746:P746))</f>
        <v>#REF!</v>
      </c>
    </row>
    <row r="747" spans="18:18">
      <c r="R747" s="137" t="e" cm="1">
        <f t="array" ref="R747">_xlfn._xlws.FILTER(#REF!, E747:P747=MIN(E747:P747))</f>
        <v>#REF!</v>
      </c>
    </row>
    <row r="748" spans="18:18">
      <c r="R748" s="137" t="e" cm="1">
        <f t="array" ref="R748">_xlfn._xlws.FILTER(#REF!, E748:P748=MIN(E748:P748))</f>
        <v>#REF!</v>
      </c>
    </row>
    <row r="749" spans="18:18">
      <c r="R749" s="137" t="e" cm="1">
        <f t="array" ref="R749">_xlfn._xlws.FILTER(#REF!, E749:P749=MIN(E749:P749))</f>
        <v>#REF!</v>
      </c>
    </row>
    <row r="750" spans="18:18">
      <c r="R750" s="137" t="e" cm="1">
        <f t="array" ref="R750">_xlfn._xlws.FILTER(#REF!, E750:P750=MIN(E750:P750))</f>
        <v>#REF!</v>
      </c>
    </row>
    <row r="751" spans="18:18">
      <c r="R751" s="137" t="e" cm="1">
        <f t="array" ref="R751">_xlfn._xlws.FILTER(#REF!, E751:P751=MIN(E751:P751))</f>
        <v>#REF!</v>
      </c>
    </row>
    <row r="752" spans="18:18">
      <c r="R752" s="137" t="e" cm="1">
        <f t="array" ref="R752">_xlfn._xlws.FILTER(#REF!, E752:P752=MIN(E752:P752))</f>
        <v>#REF!</v>
      </c>
    </row>
    <row r="753" spans="18:18">
      <c r="R753" s="137" t="e" cm="1">
        <f t="array" ref="R753">_xlfn._xlws.FILTER(#REF!, E753:P753=MIN(E753:P753))</f>
        <v>#REF!</v>
      </c>
    </row>
    <row r="754" spans="18:18">
      <c r="R754" s="137" t="e" cm="1">
        <f t="array" ref="R754">_xlfn._xlws.FILTER(#REF!, E754:P754=MIN(E754:P754))</f>
        <v>#REF!</v>
      </c>
    </row>
    <row r="755" spans="18:18">
      <c r="R755" s="137" t="e" cm="1">
        <f t="array" ref="R755">_xlfn._xlws.FILTER(#REF!, E755:P755=MIN(E755:P755))</f>
        <v>#REF!</v>
      </c>
    </row>
    <row r="756" spans="18:18">
      <c r="R756" s="137" t="e" cm="1">
        <f t="array" ref="R756">_xlfn._xlws.FILTER(#REF!, E756:P756=MIN(E756:P756))</f>
        <v>#REF!</v>
      </c>
    </row>
    <row r="757" spans="18:18">
      <c r="R757" s="137" t="e" cm="1">
        <f t="array" ref="R757">_xlfn._xlws.FILTER(#REF!, E757:P757=MIN(E757:P757))</f>
        <v>#REF!</v>
      </c>
    </row>
    <row r="758" spans="18:18">
      <c r="R758" s="137" t="e" cm="1">
        <f t="array" ref="R758">_xlfn._xlws.FILTER(#REF!, E758:P758=MIN(E758:P758))</f>
        <v>#REF!</v>
      </c>
    </row>
    <row r="759" spans="18:18">
      <c r="R759" s="137" t="e" cm="1">
        <f t="array" ref="R759">_xlfn._xlws.FILTER(#REF!, E759:P759=MIN(E759:P759))</f>
        <v>#REF!</v>
      </c>
    </row>
    <row r="760" spans="18:18">
      <c r="R760" s="137" t="e" cm="1">
        <f t="array" ref="R760">_xlfn._xlws.FILTER(#REF!, E760:P760=MIN(E760:P760))</f>
        <v>#REF!</v>
      </c>
    </row>
    <row r="761" spans="18:18">
      <c r="R761" s="137" t="e" cm="1">
        <f t="array" ref="R761">_xlfn._xlws.FILTER(#REF!, E761:P761=MIN(E761:P761))</f>
        <v>#REF!</v>
      </c>
    </row>
    <row r="762" spans="18:18">
      <c r="R762" s="137" t="e" cm="1">
        <f t="array" ref="R762">_xlfn._xlws.FILTER(#REF!, E762:P762=MIN(E762:P762))</f>
        <v>#REF!</v>
      </c>
    </row>
    <row r="763" spans="18:18">
      <c r="R763" s="137" t="e" cm="1">
        <f t="array" ref="R763">_xlfn._xlws.FILTER(#REF!, E763:P763=MIN(E763:P763))</f>
        <v>#REF!</v>
      </c>
    </row>
    <row r="764" spans="18:18">
      <c r="R764" s="137" t="e" cm="1">
        <f t="array" ref="R764">_xlfn._xlws.FILTER(#REF!, E764:P764=MIN(E764:P764))</f>
        <v>#REF!</v>
      </c>
    </row>
    <row r="765" spans="18:18">
      <c r="R765" s="137" t="e" cm="1">
        <f t="array" ref="R765">_xlfn._xlws.FILTER(#REF!, E765:P765=MIN(E765:P765))</f>
        <v>#REF!</v>
      </c>
    </row>
    <row r="766" spans="18:18">
      <c r="R766" s="137" t="e" cm="1">
        <f t="array" ref="R766">_xlfn._xlws.FILTER(#REF!, E766:P766=MIN(E766:P766))</f>
        <v>#REF!</v>
      </c>
    </row>
    <row r="767" spans="18:18">
      <c r="R767" s="137" t="e" cm="1">
        <f t="array" ref="R767">_xlfn._xlws.FILTER(#REF!, E767:P767=MIN(E767:P767))</f>
        <v>#REF!</v>
      </c>
    </row>
    <row r="768" spans="18:18">
      <c r="R768" s="137" t="e" cm="1">
        <f t="array" ref="R768">_xlfn._xlws.FILTER(#REF!, E768:P768=MIN(E768:P768))</f>
        <v>#REF!</v>
      </c>
    </row>
    <row r="769" spans="18:18">
      <c r="R769" s="137" t="e" cm="1">
        <f t="array" ref="R769">_xlfn._xlws.FILTER(#REF!, E769:P769=MIN(E769:P769))</f>
        <v>#REF!</v>
      </c>
    </row>
    <row r="770" spans="18:18">
      <c r="R770" s="137" t="e" cm="1">
        <f t="array" ref="R770">_xlfn._xlws.FILTER(#REF!, E770:P770=MIN(E770:P770))</f>
        <v>#REF!</v>
      </c>
    </row>
    <row r="771" spans="18:18">
      <c r="R771" s="137" t="e" cm="1">
        <f t="array" ref="R771">_xlfn._xlws.FILTER(#REF!, E771:P771=MIN(E771:P771))</f>
        <v>#REF!</v>
      </c>
    </row>
    <row r="772" spans="18:18">
      <c r="R772" s="137" t="e" cm="1">
        <f t="array" ref="R772">_xlfn._xlws.FILTER(#REF!, E772:P772=MIN(E772:P772))</f>
        <v>#REF!</v>
      </c>
    </row>
    <row r="773" spans="18:18">
      <c r="R773" s="137" t="e" cm="1">
        <f t="array" ref="R773">_xlfn._xlws.FILTER(#REF!, E773:P773=MIN(E773:P773))</f>
        <v>#REF!</v>
      </c>
    </row>
    <row r="774" spans="18:18">
      <c r="R774" s="137" t="e" cm="1">
        <f t="array" ref="R774">_xlfn._xlws.FILTER(#REF!, E774:P774=MIN(E774:P774))</f>
        <v>#REF!</v>
      </c>
    </row>
    <row r="775" spans="18:18">
      <c r="R775" s="137" t="e" cm="1">
        <f t="array" ref="R775">_xlfn._xlws.FILTER(#REF!, E775:P775=MIN(E775:P775))</f>
        <v>#REF!</v>
      </c>
    </row>
    <row r="776" spans="18:18">
      <c r="R776" s="137" t="e" cm="1">
        <f t="array" ref="R776">_xlfn._xlws.FILTER(#REF!, E776:P776=MIN(E776:P776))</f>
        <v>#REF!</v>
      </c>
    </row>
    <row r="777" spans="18:18">
      <c r="R777" s="137" t="e" cm="1">
        <f t="array" ref="R777">_xlfn._xlws.FILTER(#REF!, E777:P777=MIN(E777:P777))</f>
        <v>#REF!</v>
      </c>
    </row>
    <row r="778" spans="18:18">
      <c r="R778" s="137" t="e" cm="1">
        <f t="array" ref="R778">_xlfn._xlws.FILTER(#REF!, E778:P778=MIN(E778:P778))</f>
        <v>#REF!</v>
      </c>
    </row>
    <row r="779" spans="18:18">
      <c r="R779" s="137" t="e" cm="1">
        <f t="array" ref="R779">_xlfn._xlws.FILTER(#REF!, E779:P779=MIN(E779:P779))</f>
        <v>#REF!</v>
      </c>
    </row>
    <row r="780" spans="18:18">
      <c r="R780" s="137" t="e" cm="1">
        <f t="array" ref="R780">_xlfn._xlws.FILTER(#REF!, E780:P780=MIN(E780:P780))</f>
        <v>#REF!</v>
      </c>
    </row>
    <row r="781" spans="18:18">
      <c r="R781" s="137" t="e" cm="1">
        <f t="array" ref="R781">_xlfn._xlws.FILTER(#REF!, E781:P781=MIN(E781:P781))</f>
        <v>#REF!</v>
      </c>
    </row>
    <row r="782" spans="18:18">
      <c r="R782" s="137" t="e" cm="1">
        <f t="array" ref="R782">_xlfn._xlws.FILTER(#REF!, E782:P782=MIN(E782:P782))</f>
        <v>#REF!</v>
      </c>
    </row>
    <row r="783" spans="18:18">
      <c r="R783" s="137" t="e" cm="1">
        <f t="array" ref="R783">_xlfn._xlws.FILTER(#REF!, E783:P783=MIN(E783:P783))</f>
        <v>#REF!</v>
      </c>
    </row>
    <row r="784" spans="18:18">
      <c r="R784" s="137" t="e" cm="1">
        <f t="array" ref="R784">_xlfn._xlws.FILTER(#REF!, E784:P784=MIN(E784:P784))</f>
        <v>#REF!</v>
      </c>
    </row>
    <row r="785" spans="18:18">
      <c r="R785" s="137" t="e" cm="1">
        <f t="array" ref="R785">_xlfn._xlws.FILTER(#REF!, E785:P785=MIN(E785:P785))</f>
        <v>#REF!</v>
      </c>
    </row>
    <row r="786" spans="18:18">
      <c r="R786" s="137" t="e" cm="1">
        <f t="array" ref="R786">_xlfn._xlws.FILTER(#REF!, E786:P786=MIN(E786:P786))</f>
        <v>#REF!</v>
      </c>
    </row>
    <row r="787" spans="18:18">
      <c r="R787" s="137" t="e" cm="1">
        <f t="array" ref="R787">_xlfn._xlws.FILTER(#REF!, E787:P787=MIN(E787:P787))</f>
        <v>#REF!</v>
      </c>
    </row>
    <row r="788" spans="18:18">
      <c r="R788" s="137" t="e" cm="1">
        <f t="array" ref="R788">_xlfn._xlws.FILTER(#REF!, E788:P788=MIN(E788:P788))</f>
        <v>#REF!</v>
      </c>
    </row>
    <row r="789" spans="18:18">
      <c r="R789" s="137" t="e" cm="1">
        <f t="array" ref="R789">_xlfn._xlws.FILTER(#REF!, E789:P789=MIN(E789:P789))</f>
        <v>#REF!</v>
      </c>
    </row>
    <row r="790" spans="18:18">
      <c r="R790" s="137" t="e" cm="1">
        <f t="array" ref="R790">_xlfn._xlws.FILTER(#REF!, E790:P790=MIN(E790:P790))</f>
        <v>#REF!</v>
      </c>
    </row>
    <row r="791" spans="18:18">
      <c r="R791" s="137" t="e" cm="1">
        <f t="array" ref="R791">_xlfn._xlws.FILTER(#REF!, E791:P791=MIN(E791:P791))</f>
        <v>#REF!</v>
      </c>
    </row>
    <row r="792" spans="18:18">
      <c r="R792" s="137" t="e" cm="1">
        <f t="array" ref="R792">_xlfn._xlws.FILTER(#REF!, E792:P792=MIN(E792:P792))</f>
        <v>#REF!</v>
      </c>
    </row>
    <row r="793" spans="18:18">
      <c r="R793" s="137" t="e" cm="1">
        <f t="array" ref="R793">_xlfn._xlws.FILTER(#REF!, E793:P793=MIN(E793:P793))</f>
        <v>#REF!</v>
      </c>
    </row>
    <row r="794" spans="18:18">
      <c r="R794" s="137" t="e" cm="1">
        <f t="array" ref="R794">_xlfn._xlws.FILTER(#REF!, E794:P794=MIN(E794:P794))</f>
        <v>#REF!</v>
      </c>
    </row>
    <row r="795" spans="18:18">
      <c r="R795" s="137" t="e" cm="1">
        <f t="array" ref="R795">_xlfn._xlws.FILTER(#REF!, E795:P795=MIN(E795:P795))</f>
        <v>#REF!</v>
      </c>
    </row>
    <row r="796" spans="18:18">
      <c r="R796" s="137" t="e" cm="1">
        <f t="array" ref="R796">_xlfn._xlws.FILTER(#REF!, E796:P796=MIN(E796:P796))</f>
        <v>#REF!</v>
      </c>
    </row>
    <row r="797" spans="18:18">
      <c r="R797" s="137" t="e" cm="1">
        <f t="array" ref="R797">_xlfn._xlws.FILTER(#REF!, E797:P797=MIN(E797:P797))</f>
        <v>#REF!</v>
      </c>
    </row>
    <row r="798" spans="18:18">
      <c r="R798" s="137" t="e" cm="1">
        <f t="array" ref="R798">_xlfn._xlws.FILTER(#REF!, E798:P798=MIN(E798:P798))</f>
        <v>#REF!</v>
      </c>
    </row>
    <row r="799" spans="18:18">
      <c r="R799" s="137" t="e" cm="1">
        <f t="array" ref="R799">_xlfn._xlws.FILTER(#REF!, E799:P799=MIN(E799:P799))</f>
        <v>#REF!</v>
      </c>
    </row>
    <row r="800" spans="18:18">
      <c r="R800" s="137" t="e" cm="1">
        <f t="array" ref="R800">_xlfn._xlws.FILTER(#REF!, E800:P800=MIN(E800:P800))</f>
        <v>#REF!</v>
      </c>
    </row>
    <row r="801" spans="18:18">
      <c r="R801" s="137" t="e" cm="1">
        <f t="array" ref="R801">_xlfn._xlws.FILTER(#REF!, E801:P801=MIN(E801:P801))</f>
        <v>#REF!</v>
      </c>
    </row>
    <row r="802" spans="18:18">
      <c r="R802" s="137" t="e" cm="1">
        <f t="array" ref="R802">_xlfn._xlws.FILTER(#REF!, E802:P802=MIN(E802:P802))</f>
        <v>#REF!</v>
      </c>
    </row>
    <row r="803" spans="18:18">
      <c r="R803" s="137" t="e" cm="1">
        <f t="array" ref="R803">_xlfn._xlws.FILTER(#REF!, E803:P803=MIN(E803:P803))</f>
        <v>#REF!</v>
      </c>
    </row>
    <row r="804" spans="18:18">
      <c r="R804" s="137" t="e" cm="1">
        <f t="array" ref="R804">_xlfn._xlws.FILTER(#REF!, E804:P804=MIN(E804:P804))</f>
        <v>#REF!</v>
      </c>
    </row>
    <row r="805" spans="18:18">
      <c r="R805" s="137" t="e" cm="1">
        <f t="array" ref="R805">_xlfn._xlws.FILTER(#REF!, E805:P805=MIN(E805:P805))</f>
        <v>#REF!</v>
      </c>
    </row>
    <row r="806" spans="18:18">
      <c r="R806" s="137" t="e" cm="1">
        <f t="array" ref="R806">_xlfn._xlws.FILTER(#REF!, E806:P806=MIN(E806:P806))</f>
        <v>#REF!</v>
      </c>
    </row>
    <row r="807" spans="18:18">
      <c r="R807" s="137" t="e" cm="1">
        <f t="array" ref="R807">_xlfn._xlws.FILTER(#REF!, E807:P807=MIN(E807:P807))</f>
        <v>#REF!</v>
      </c>
    </row>
    <row r="808" spans="18:18">
      <c r="R808" s="137" t="e" cm="1">
        <f t="array" ref="R808">_xlfn._xlws.FILTER(#REF!, E808:P808=MIN(E808:P808))</f>
        <v>#REF!</v>
      </c>
    </row>
    <row r="809" spans="18:18">
      <c r="R809" s="137" t="e" cm="1">
        <f t="array" ref="R809">_xlfn._xlws.FILTER(#REF!, E809:P809=MIN(E809:P809))</f>
        <v>#REF!</v>
      </c>
    </row>
    <row r="810" spans="18:18">
      <c r="R810" s="137" t="e" cm="1">
        <f t="array" ref="R810">_xlfn._xlws.FILTER(#REF!, E810:P810=MIN(E810:P810))</f>
        <v>#REF!</v>
      </c>
    </row>
    <row r="811" spans="18:18">
      <c r="R811" s="137" t="e" cm="1">
        <f t="array" ref="R811">_xlfn._xlws.FILTER(#REF!, E811:P811=MIN(E811:P811))</f>
        <v>#REF!</v>
      </c>
    </row>
    <row r="812" spans="18:18">
      <c r="R812" s="137" t="e" cm="1">
        <f t="array" ref="R812">_xlfn._xlws.FILTER(#REF!, E812:P812=MIN(E812:P812))</f>
        <v>#REF!</v>
      </c>
    </row>
    <row r="813" spans="18:18">
      <c r="R813" s="137" t="e" cm="1">
        <f t="array" ref="R813">_xlfn._xlws.FILTER(#REF!, E813:P813=MIN(E813:P813))</f>
        <v>#REF!</v>
      </c>
    </row>
    <row r="814" spans="18:18">
      <c r="R814" s="137" t="e" cm="1">
        <f t="array" ref="R814">_xlfn._xlws.FILTER(#REF!, E814:P814=MIN(E814:P814))</f>
        <v>#REF!</v>
      </c>
    </row>
    <row r="815" spans="18:18">
      <c r="R815" s="137" t="e" cm="1">
        <f t="array" ref="R815">_xlfn._xlws.FILTER(#REF!, E815:P815=MIN(E815:P815))</f>
        <v>#REF!</v>
      </c>
    </row>
    <row r="816" spans="18:18">
      <c r="R816" s="137" t="e" cm="1">
        <f t="array" ref="R816">_xlfn._xlws.FILTER(#REF!, E816:P816=MIN(E816:P816))</f>
        <v>#REF!</v>
      </c>
    </row>
    <row r="817" spans="18:18">
      <c r="R817" s="137" t="e" cm="1">
        <f t="array" ref="R817">_xlfn._xlws.FILTER(#REF!, E817:P817=MIN(E817:P817))</f>
        <v>#REF!</v>
      </c>
    </row>
    <row r="818" spans="18:18">
      <c r="R818" s="137" t="e" cm="1">
        <f t="array" ref="R818">_xlfn._xlws.FILTER(#REF!, E818:P818=MIN(E818:P818))</f>
        <v>#REF!</v>
      </c>
    </row>
    <row r="819" spans="18:18">
      <c r="R819" s="137" t="e" cm="1">
        <f t="array" ref="R819">_xlfn._xlws.FILTER(#REF!, E819:P819=MIN(E819:P819))</f>
        <v>#REF!</v>
      </c>
    </row>
    <row r="820" spans="18:18">
      <c r="R820" s="137" t="e" cm="1">
        <f t="array" ref="R820">_xlfn._xlws.FILTER(#REF!, E820:P820=MIN(E820:P820))</f>
        <v>#REF!</v>
      </c>
    </row>
    <row r="821" spans="18:18">
      <c r="R821" s="137" t="e" cm="1">
        <f t="array" ref="R821">_xlfn._xlws.FILTER(#REF!, E821:P821=MIN(E821:P821))</f>
        <v>#REF!</v>
      </c>
    </row>
    <row r="822" spans="18:18">
      <c r="R822" s="137" t="e" cm="1">
        <f t="array" ref="R822">_xlfn._xlws.FILTER(#REF!, E822:P822=MIN(E822:P822))</f>
        <v>#REF!</v>
      </c>
    </row>
    <row r="823" spans="18:18">
      <c r="R823" s="137" t="e" cm="1">
        <f t="array" ref="R823">_xlfn._xlws.FILTER(#REF!, E823:P823=MIN(E823:P823))</f>
        <v>#REF!</v>
      </c>
    </row>
    <row r="824" spans="18:18">
      <c r="R824" s="137" t="e" cm="1">
        <f t="array" ref="R824">_xlfn._xlws.FILTER(#REF!, E824:P824=MIN(E824:P824))</f>
        <v>#REF!</v>
      </c>
    </row>
    <row r="825" spans="18:18">
      <c r="R825" s="137" t="e" cm="1">
        <f t="array" ref="R825">_xlfn._xlws.FILTER(#REF!, E825:P825=MIN(E825:P825))</f>
        <v>#REF!</v>
      </c>
    </row>
    <row r="826" spans="18:18">
      <c r="R826" s="137" t="e" cm="1">
        <f t="array" ref="R826">_xlfn._xlws.FILTER(#REF!, E826:P826=MIN(E826:P826))</f>
        <v>#REF!</v>
      </c>
    </row>
    <row r="827" spans="18:18">
      <c r="R827" s="137" t="e" cm="1">
        <f t="array" ref="R827">_xlfn._xlws.FILTER(#REF!, E827:P827=MIN(E827:P827))</f>
        <v>#REF!</v>
      </c>
    </row>
    <row r="828" spans="18:18">
      <c r="R828" s="137" t="e" cm="1">
        <f t="array" ref="R828">_xlfn._xlws.FILTER(#REF!, E828:P828=MIN(E828:P828))</f>
        <v>#REF!</v>
      </c>
    </row>
    <row r="829" spans="18:18">
      <c r="R829" s="137" t="e" cm="1">
        <f t="array" ref="R829">_xlfn._xlws.FILTER(#REF!, E829:P829=MIN(E829:P829))</f>
        <v>#REF!</v>
      </c>
    </row>
    <row r="830" spans="18:18">
      <c r="R830" s="137" t="e" cm="1">
        <f t="array" ref="R830">_xlfn._xlws.FILTER(#REF!, E830:P830=MIN(E830:P830))</f>
        <v>#REF!</v>
      </c>
    </row>
    <row r="831" spans="18:18">
      <c r="R831" s="137" t="e" cm="1">
        <f t="array" ref="R831">_xlfn._xlws.FILTER(#REF!, E831:P831=MIN(E831:P831))</f>
        <v>#REF!</v>
      </c>
    </row>
    <row r="832" spans="18:18">
      <c r="R832" s="137" t="e" cm="1">
        <f t="array" ref="R832">_xlfn._xlws.FILTER(#REF!, E832:P832=MIN(E832:P832))</f>
        <v>#REF!</v>
      </c>
    </row>
    <row r="833" spans="18:18">
      <c r="R833" s="137" t="e" cm="1">
        <f t="array" ref="R833">_xlfn._xlws.FILTER(#REF!, E833:P833=MIN(E833:P833))</f>
        <v>#REF!</v>
      </c>
    </row>
    <row r="834" spans="18:18">
      <c r="R834" s="137" t="e" cm="1">
        <f t="array" ref="R834">_xlfn._xlws.FILTER(#REF!, E834:P834=MIN(E834:P834))</f>
        <v>#REF!</v>
      </c>
    </row>
    <row r="835" spans="18:18">
      <c r="R835" s="137" t="e" cm="1">
        <f t="array" ref="R835">_xlfn._xlws.FILTER(#REF!, E835:P835=MIN(E835:P835))</f>
        <v>#REF!</v>
      </c>
    </row>
    <row r="836" spans="18:18">
      <c r="R836" s="137" t="e" cm="1">
        <f t="array" ref="R836">_xlfn._xlws.FILTER(#REF!, E836:P836=MIN(E836:P836))</f>
        <v>#REF!</v>
      </c>
    </row>
    <row r="837" spans="18:18">
      <c r="R837" s="137" t="e" cm="1">
        <f t="array" ref="R837">_xlfn._xlws.FILTER(#REF!, E837:P837=MIN(E837:P837))</f>
        <v>#REF!</v>
      </c>
    </row>
    <row r="838" spans="18:18">
      <c r="R838" s="137" t="e" cm="1">
        <f t="array" ref="R838">_xlfn._xlws.FILTER(#REF!, E838:P838=MIN(E838:P838))</f>
        <v>#REF!</v>
      </c>
    </row>
    <row r="839" spans="18:18">
      <c r="R839" s="137" t="e" cm="1">
        <f t="array" ref="R839">_xlfn._xlws.FILTER(#REF!, E839:P839=MIN(E839:P839))</f>
        <v>#REF!</v>
      </c>
    </row>
    <row r="840" spans="18:18">
      <c r="R840" s="137" t="e" cm="1">
        <f t="array" ref="R840">_xlfn._xlws.FILTER(#REF!, E840:P840=MIN(E840:P840))</f>
        <v>#REF!</v>
      </c>
    </row>
    <row r="841" spans="18:18">
      <c r="R841" s="137" t="e" cm="1">
        <f t="array" ref="R841">_xlfn._xlws.FILTER(#REF!, E841:P841=MIN(E841:P841))</f>
        <v>#REF!</v>
      </c>
    </row>
    <row r="842" spans="18:18">
      <c r="R842" s="137" t="e" cm="1">
        <f t="array" ref="R842">_xlfn._xlws.FILTER(#REF!, E842:P842=MIN(E842:P842))</f>
        <v>#REF!</v>
      </c>
    </row>
    <row r="843" spans="18:18">
      <c r="R843" s="137" t="e" cm="1">
        <f t="array" ref="R843">_xlfn._xlws.FILTER(#REF!, E843:P843=MIN(E843:P843))</f>
        <v>#REF!</v>
      </c>
    </row>
    <row r="844" spans="18:18">
      <c r="R844" s="137" t="e" cm="1">
        <f t="array" ref="R844">_xlfn._xlws.FILTER(#REF!, E844:P844=MIN(E844:P844))</f>
        <v>#REF!</v>
      </c>
    </row>
    <row r="845" spans="18:18">
      <c r="R845" s="137" t="e" cm="1">
        <f t="array" ref="R845">_xlfn._xlws.FILTER(#REF!, E845:P845=MIN(E845:P845))</f>
        <v>#REF!</v>
      </c>
    </row>
    <row r="846" spans="18:18">
      <c r="R846" s="137" t="e" cm="1">
        <f t="array" ref="R846">_xlfn._xlws.FILTER(#REF!, E846:P846=MIN(E846:P846))</f>
        <v>#REF!</v>
      </c>
    </row>
    <row r="847" spans="18:18">
      <c r="R847" s="137" t="e" cm="1">
        <f t="array" ref="R847">_xlfn._xlws.FILTER(#REF!, E847:P847=MIN(E847:P847))</f>
        <v>#REF!</v>
      </c>
    </row>
    <row r="848" spans="18:18">
      <c r="R848" s="137" t="e" cm="1">
        <f t="array" ref="R848">_xlfn._xlws.FILTER(#REF!, E848:P848=MIN(E848:P848))</f>
        <v>#REF!</v>
      </c>
    </row>
    <row r="849" spans="18:18">
      <c r="R849" s="137" t="e" cm="1">
        <f t="array" ref="R849">_xlfn._xlws.FILTER(#REF!, E849:P849=MIN(E849:P849))</f>
        <v>#REF!</v>
      </c>
    </row>
    <row r="850" spans="18:18">
      <c r="R850" s="137" t="e" cm="1">
        <f t="array" ref="R850">_xlfn._xlws.FILTER(#REF!, E850:P850=MIN(E850:P850))</f>
        <v>#REF!</v>
      </c>
    </row>
    <row r="851" spans="18:18">
      <c r="R851" s="137" t="e" cm="1">
        <f t="array" ref="R851">_xlfn._xlws.FILTER(#REF!, E851:P851=MIN(E851:P851))</f>
        <v>#REF!</v>
      </c>
    </row>
    <row r="852" spans="18:18">
      <c r="R852" s="137" t="e" cm="1">
        <f t="array" ref="R852">_xlfn._xlws.FILTER(#REF!, E852:P852=MIN(E852:P852))</f>
        <v>#REF!</v>
      </c>
    </row>
    <row r="853" spans="18:18">
      <c r="R853" s="137" t="e" cm="1">
        <f t="array" ref="R853">_xlfn._xlws.FILTER(#REF!, E853:P853=MIN(E853:P853))</f>
        <v>#REF!</v>
      </c>
    </row>
    <row r="854" spans="18:18">
      <c r="R854" s="137" t="e" cm="1">
        <f t="array" ref="R854">_xlfn._xlws.FILTER(#REF!, E854:P854=MIN(E854:P854))</f>
        <v>#REF!</v>
      </c>
    </row>
    <row r="855" spans="18:18">
      <c r="R855" s="137" t="e" cm="1">
        <f t="array" ref="R855">_xlfn._xlws.FILTER(#REF!, E855:P855=MIN(E855:P855))</f>
        <v>#REF!</v>
      </c>
    </row>
    <row r="856" spans="18:18">
      <c r="R856" s="137" t="e" cm="1">
        <f t="array" ref="R856">_xlfn._xlws.FILTER(#REF!, E856:P856=MIN(E856:P856))</f>
        <v>#REF!</v>
      </c>
    </row>
    <row r="857" spans="18:18">
      <c r="R857" s="137" t="e" cm="1">
        <f t="array" ref="R857">_xlfn._xlws.FILTER(#REF!, E857:P857=MIN(E857:P857))</f>
        <v>#REF!</v>
      </c>
    </row>
    <row r="858" spans="18:18">
      <c r="R858" s="137" t="e" cm="1">
        <f t="array" ref="R858">_xlfn._xlws.FILTER(#REF!, E858:P858=MIN(E858:P858))</f>
        <v>#REF!</v>
      </c>
    </row>
    <row r="859" spans="18:18">
      <c r="R859" s="137" t="e" cm="1">
        <f t="array" ref="R859">_xlfn._xlws.FILTER(#REF!, E859:P859=MIN(E859:P859))</f>
        <v>#REF!</v>
      </c>
    </row>
    <row r="860" spans="18:18">
      <c r="R860" s="137" t="e" cm="1">
        <f t="array" ref="R860">_xlfn._xlws.FILTER(#REF!, E860:P860=MIN(E860:P860))</f>
        <v>#REF!</v>
      </c>
    </row>
    <row r="861" spans="18:18">
      <c r="R861" s="137" t="e" cm="1">
        <f t="array" ref="R861">_xlfn._xlws.FILTER(#REF!, E861:P861=MIN(E861:P861))</f>
        <v>#REF!</v>
      </c>
    </row>
    <row r="862" spans="18:18">
      <c r="R862" s="137" t="e" cm="1">
        <f t="array" ref="R862">_xlfn._xlws.FILTER(#REF!, E862:P862=MIN(E862:P862))</f>
        <v>#REF!</v>
      </c>
    </row>
    <row r="863" spans="18:18">
      <c r="R863" s="137" t="e" cm="1">
        <f t="array" ref="R863">_xlfn._xlws.FILTER(#REF!, E863:P863=MIN(E863:P863))</f>
        <v>#REF!</v>
      </c>
    </row>
    <row r="864" spans="18:18">
      <c r="R864" s="137" t="e" cm="1">
        <f t="array" ref="R864">_xlfn._xlws.FILTER(#REF!, E864:P864=MIN(E864:P864))</f>
        <v>#REF!</v>
      </c>
    </row>
    <row r="865" spans="18:18">
      <c r="R865" s="137" t="e" cm="1">
        <f t="array" ref="R865">_xlfn._xlws.FILTER(#REF!, E865:P865=MIN(E865:P865))</f>
        <v>#REF!</v>
      </c>
    </row>
    <row r="866" spans="18:18">
      <c r="R866" s="137" t="e" cm="1">
        <f t="array" ref="R866">_xlfn._xlws.FILTER(#REF!, E866:P866=MIN(E866:P866))</f>
        <v>#REF!</v>
      </c>
    </row>
    <row r="867" spans="18:18">
      <c r="R867" s="137" t="e" cm="1">
        <f t="array" ref="R867">_xlfn._xlws.FILTER(#REF!, E867:P867=MIN(E867:P867))</f>
        <v>#REF!</v>
      </c>
    </row>
    <row r="868" spans="18:18">
      <c r="R868" s="137" t="e" cm="1">
        <f t="array" ref="R868">_xlfn._xlws.FILTER(#REF!, E868:P868=MIN(E868:P868))</f>
        <v>#REF!</v>
      </c>
    </row>
    <row r="869" spans="18:18">
      <c r="R869" s="137" t="e" cm="1">
        <f t="array" ref="R869">_xlfn._xlws.FILTER(#REF!, E869:P869=MIN(E869:P869))</f>
        <v>#REF!</v>
      </c>
    </row>
    <row r="870" spans="18:18">
      <c r="R870" s="137" t="e" cm="1">
        <f t="array" ref="R870">_xlfn._xlws.FILTER(#REF!, E870:P870=MIN(E870:P870))</f>
        <v>#REF!</v>
      </c>
    </row>
    <row r="871" spans="18:18">
      <c r="R871" s="137" t="e" cm="1">
        <f t="array" ref="R871">_xlfn._xlws.FILTER(#REF!, E871:P871=MIN(E871:P871))</f>
        <v>#REF!</v>
      </c>
    </row>
    <row r="872" spans="18:18">
      <c r="R872" s="137" t="e" cm="1">
        <f t="array" ref="R872">_xlfn._xlws.FILTER(#REF!, E872:P872=MIN(E872:P872))</f>
        <v>#REF!</v>
      </c>
    </row>
    <row r="873" spans="18:18">
      <c r="R873" s="137" t="e" cm="1">
        <f t="array" ref="R873">_xlfn._xlws.FILTER(#REF!, E873:P873=MIN(E873:P873))</f>
        <v>#REF!</v>
      </c>
    </row>
    <row r="874" spans="18:18">
      <c r="R874" s="137" t="e" cm="1">
        <f t="array" ref="R874">_xlfn._xlws.FILTER(#REF!, E874:P874=MIN(E874:P874))</f>
        <v>#REF!</v>
      </c>
    </row>
    <row r="875" spans="18:18">
      <c r="R875" s="137" t="e" cm="1">
        <f t="array" ref="R875">_xlfn._xlws.FILTER(#REF!, E875:P875=MIN(E875:P875))</f>
        <v>#REF!</v>
      </c>
    </row>
    <row r="876" spans="18:18">
      <c r="R876" s="137" t="e" cm="1">
        <f t="array" ref="R876">_xlfn._xlws.FILTER(#REF!, E876:P876=MIN(E876:P876))</f>
        <v>#REF!</v>
      </c>
    </row>
    <row r="877" spans="18:18">
      <c r="R877" s="137" t="e" cm="1">
        <f t="array" ref="R877">_xlfn._xlws.FILTER(#REF!, E877:P877=MIN(E877:P877))</f>
        <v>#REF!</v>
      </c>
    </row>
    <row r="878" spans="18:18">
      <c r="R878" s="137" t="e" cm="1">
        <f t="array" ref="R878">_xlfn._xlws.FILTER(#REF!, E878:P878=MIN(E878:P878))</f>
        <v>#REF!</v>
      </c>
    </row>
    <row r="879" spans="18:18">
      <c r="R879" s="137" t="e" cm="1">
        <f t="array" ref="R879">_xlfn._xlws.FILTER(#REF!, E879:P879=MIN(E879:P879))</f>
        <v>#REF!</v>
      </c>
    </row>
    <row r="880" spans="18:18">
      <c r="R880" s="137" t="e" cm="1">
        <f t="array" ref="R880">_xlfn._xlws.FILTER(#REF!, E880:P880=MIN(E880:P880))</f>
        <v>#REF!</v>
      </c>
    </row>
    <row r="881" spans="18:18">
      <c r="R881" s="137" t="e" cm="1">
        <f t="array" ref="R881">_xlfn._xlws.FILTER(#REF!, E881:P881=MIN(E881:P881))</f>
        <v>#REF!</v>
      </c>
    </row>
    <row r="882" spans="18:18">
      <c r="R882" s="137" t="e" cm="1">
        <f t="array" ref="R882">_xlfn._xlws.FILTER(#REF!, E882:P882=MIN(E882:P882))</f>
        <v>#REF!</v>
      </c>
    </row>
    <row r="883" spans="18:18">
      <c r="R883" s="137" t="e" cm="1">
        <f t="array" ref="R883">_xlfn._xlws.FILTER(#REF!, E883:P883=MIN(E883:P883))</f>
        <v>#REF!</v>
      </c>
    </row>
    <row r="884" spans="18:18">
      <c r="R884" s="137" t="e" cm="1">
        <f t="array" ref="R884">_xlfn._xlws.FILTER(#REF!, E884:P884=MIN(E884:P884))</f>
        <v>#REF!</v>
      </c>
    </row>
    <row r="885" spans="18:18">
      <c r="R885" s="137" t="e" cm="1">
        <f t="array" ref="R885">_xlfn._xlws.FILTER(#REF!, E885:P885=MIN(E885:P885))</f>
        <v>#REF!</v>
      </c>
    </row>
    <row r="886" spans="18:18">
      <c r="R886" s="137" t="e" cm="1">
        <f t="array" ref="R886">_xlfn._xlws.FILTER(#REF!, E886:P886=MIN(E886:P886))</f>
        <v>#REF!</v>
      </c>
    </row>
    <row r="887" spans="18:18">
      <c r="R887" s="137" t="e" cm="1">
        <f t="array" ref="R887">_xlfn._xlws.FILTER(#REF!, E887:P887=MIN(E887:P887))</f>
        <v>#REF!</v>
      </c>
    </row>
    <row r="888" spans="18:18">
      <c r="R888" s="137" t="e" cm="1">
        <f t="array" ref="R888">_xlfn._xlws.FILTER(#REF!, E888:P888=MIN(E888:P888))</f>
        <v>#REF!</v>
      </c>
    </row>
    <row r="889" spans="18:18">
      <c r="R889" s="137" t="e" cm="1">
        <f t="array" ref="R889">_xlfn._xlws.FILTER(#REF!, E889:P889=MIN(E889:P889))</f>
        <v>#REF!</v>
      </c>
    </row>
    <row r="890" spans="18:18">
      <c r="R890" s="137" t="e" cm="1">
        <f t="array" ref="R890">_xlfn._xlws.FILTER(#REF!, E890:P890=MIN(E890:P890))</f>
        <v>#REF!</v>
      </c>
    </row>
    <row r="891" spans="18:18">
      <c r="R891" s="137" t="e" cm="1">
        <f t="array" ref="R891">_xlfn._xlws.FILTER(#REF!, E891:P891=MIN(E891:P891))</f>
        <v>#REF!</v>
      </c>
    </row>
    <row r="892" spans="18:18">
      <c r="R892" s="137" t="e" cm="1">
        <f t="array" ref="R892">_xlfn._xlws.FILTER(#REF!, E892:P892=MIN(E892:P892))</f>
        <v>#REF!</v>
      </c>
    </row>
    <row r="893" spans="18:18">
      <c r="R893" s="137" t="e" cm="1">
        <f t="array" ref="R893">_xlfn._xlws.FILTER(#REF!, E893:P893=MIN(E893:P893))</f>
        <v>#REF!</v>
      </c>
    </row>
    <row r="894" spans="18:18">
      <c r="R894" s="137" t="e" cm="1">
        <f t="array" ref="R894">_xlfn._xlws.FILTER(#REF!, E894:P894=MIN(E894:P894))</f>
        <v>#REF!</v>
      </c>
    </row>
    <row r="895" spans="18:18">
      <c r="R895" s="137" t="e" cm="1">
        <f t="array" ref="R895">_xlfn._xlws.FILTER(#REF!, E895:P895=MIN(E895:P895))</f>
        <v>#REF!</v>
      </c>
    </row>
    <row r="896" spans="18:18">
      <c r="R896" s="137" t="e" cm="1">
        <f t="array" ref="R896">_xlfn._xlws.FILTER(#REF!, E896:P896=MIN(E896:P896))</f>
        <v>#REF!</v>
      </c>
    </row>
    <row r="897" spans="18:18">
      <c r="R897" s="137" t="e" cm="1">
        <f t="array" ref="R897">_xlfn._xlws.FILTER(#REF!, E897:P897=MIN(E897:P897))</f>
        <v>#REF!</v>
      </c>
    </row>
    <row r="898" spans="18:18">
      <c r="R898" s="137" t="e" cm="1">
        <f t="array" ref="R898">_xlfn._xlws.FILTER(#REF!, E898:P898=MIN(E898:P898))</f>
        <v>#REF!</v>
      </c>
    </row>
    <row r="899" spans="18:18">
      <c r="R899" s="137" t="e" cm="1">
        <f t="array" ref="R899">_xlfn._xlws.FILTER(#REF!, E899:P899=MIN(E899:P899))</f>
        <v>#REF!</v>
      </c>
    </row>
    <row r="900" spans="18:18">
      <c r="R900" s="137" t="e" cm="1">
        <f t="array" ref="R900">_xlfn._xlws.FILTER(#REF!, E900:P900=MIN(E900:P900))</f>
        <v>#REF!</v>
      </c>
    </row>
    <row r="901" spans="18:18">
      <c r="R901" s="137" t="e" cm="1">
        <f t="array" ref="R901">_xlfn._xlws.FILTER(#REF!, E901:P901=MIN(E901:P901))</f>
        <v>#REF!</v>
      </c>
    </row>
    <row r="902" spans="18:18">
      <c r="R902" s="137" t="e" cm="1">
        <f t="array" ref="R902">_xlfn._xlws.FILTER(#REF!, E902:P902=MIN(E902:P902))</f>
        <v>#REF!</v>
      </c>
    </row>
    <row r="903" spans="18:18">
      <c r="R903" s="137" t="e" cm="1">
        <f t="array" ref="R903">_xlfn._xlws.FILTER(#REF!, E903:P903=MIN(E903:P903))</f>
        <v>#REF!</v>
      </c>
    </row>
    <row r="904" spans="18:18">
      <c r="R904" s="137" t="e" cm="1">
        <f t="array" ref="R904">_xlfn._xlws.FILTER(#REF!, E904:P904=MIN(E904:P904))</f>
        <v>#REF!</v>
      </c>
    </row>
    <row r="905" spans="18:18">
      <c r="R905" s="137" t="e" cm="1">
        <f t="array" ref="R905">_xlfn._xlws.FILTER(#REF!, E905:P905=MIN(E905:P905))</f>
        <v>#REF!</v>
      </c>
    </row>
    <row r="906" spans="18:18">
      <c r="R906" s="137" t="e" cm="1">
        <f t="array" ref="R906">_xlfn._xlws.FILTER(#REF!, E906:P906=MIN(E906:P906))</f>
        <v>#REF!</v>
      </c>
    </row>
    <row r="907" spans="18:18">
      <c r="R907" s="137" t="e" cm="1">
        <f t="array" ref="R907">_xlfn._xlws.FILTER(#REF!, E907:P907=MIN(E907:P907))</f>
        <v>#REF!</v>
      </c>
    </row>
    <row r="908" spans="18:18">
      <c r="R908" s="137" t="e" cm="1">
        <f t="array" ref="R908">_xlfn._xlws.FILTER(#REF!, E908:P908=MIN(E908:P908))</f>
        <v>#REF!</v>
      </c>
    </row>
    <row r="909" spans="18:18">
      <c r="R909" s="137" t="e" cm="1">
        <f t="array" ref="R909">_xlfn._xlws.FILTER(#REF!, E909:P909=MIN(E909:P909))</f>
        <v>#REF!</v>
      </c>
    </row>
    <row r="910" spans="18:18">
      <c r="R910" s="137" t="e" cm="1">
        <f t="array" ref="R910">_xlfn._xlws.FILTER(#REF!, E910:P910=MIN(E910:P910))</f>
        <v>#REF!</v>
      </c>
    </row>
    <row r="911" spans="18:18">
      <c r="R911" s="137" t="e" cm="1">
        <f t="array" ref="R911">_xlfn._xlws.FILTER(#REF!, E911:P911=MIN(E911:P911))</f>
        <v>#REF!</v>
      </c>
    </row>
    <row r="912" spans="18:18">
      <c r="R912" s="137" t="e" cm="1">
        <f t="array" ref="R912">_xlfn._xlws.FILTER(#REF!, E912:P912=MIN(E912:P912))</f>
        <v>#REF!</v>
      </c>
    </row>
    <row r="913" spans="18:18">
      <c r="R913" s="137" t="e" cm="1">
        <f t="array" ref="R913">_xlfn._xlws.FILTER(#REF!, E913:P913=MIN(E913:P913))</f>
        <v>#REF!</v>
      </c>
    </row>
    <row r="914" spans="18:18">
      <c r="R914" s="137" t="e" cm="1">
        <f t="array" ref="R914">_xlfn._xlws.FILTER(#REF!, E914:P914=MIN(E914:P914))</f>
        <v>#REF!</v>
      </c>
    </row>
    <row r="915" spans="18:18">
      <c r="R915" s="137" t="e" cm="1">
        <f t="array" ref="R915">_xlfn._xlws.FILTER(#REF!, E915:P915=MIN(E915:P915))</f>
        <v>#REF!</v>
      </c>
    </row>
    <row r="916" spans="18:18">
      <c r="R916" s="137" t="e" cm="1">
        <f t="array" ref="R916">_xlfn._xlws.FILTER(#REF!, E916:P916=MIN(E916:P916))</f>
        <v>#REF!</v>
      </c>
    </row>
    <row r="917" spans="18:18">
      <c r="R917" s="137" t="e" cm="1">
        <f t="array" ref="R917">_xlfn._xlws.FILTER(#REF!, E917:P917=MIN(E917:P917))</f>
        <v>#REF!</v>
      </c>
    </row>
    <row r="918" spans="18:18">
      <c r="R918" s="137" t="e" cm="1">
        <f t="array" ref="R918">_xlfn._xlws.FILTER(#REF!, E918:P918=MIN(E918:P918))</f>
        <v>#REF!</v>
      </c>
    </row>
    <row r="919" spans="18:18">
      <c r="R919" s="137" t="e" cm="1">
        <f t="array" ref="R919">_xlfn._xlws.FILTER(#REF!, E919:P919=MIN(E919:P919))</f>
        <v>#REF!</v>
      </c>
    </row>
    <row r="920" spans="18:18">
      <c r="R920" s="137" t="e" cm="1">
        <f t="array" ref="R920">_xlfn._xlws.FILTER(#REF!, E920:P920=MIN(E920:P920))</f>
        <v>#REF!</v>
      </c>
    </row>
    <row r="921" spans="18:18">
      <c r="R921" s="137" t="e" cm="1">
        <f t="array" ref="R921">_xlfn._xlws.FILTER(#REF!, E921:P921=MIN(E921:P921))</f>
        <v>#REF!</v>
      </c>
    </row>
    <row r="922" spans="18:18">
      <c r="R922" s="137" t="e" cm="1">
        <f t="array" ref="R922">_xlfn._xlws.FILTER(#REF!, E922:P922=MIN(E922:P922))</f>
        <v>#REF!</v>
      </c>
    </row>
    <row r="923" spans="18:18">
      <c r="R923" s="137" t="e" cm="1">
        <f t="array" ref="R923">_xlfn._xlws.FILTER(#REF!, E923:P923=MIN(E923:P923))</f>
        <v>#REF!</v>
      </c>
    </row>
    <row r="924" spans="18:18">
      <c r="R924" s="137" t="e" cm="1">
        <f t="array" ref="R924">_xlfn._xlws.FILTER(#REF!, E924:P924=MIN(E924:P924))</f>
        <v>#REF!</v>
      </c>
    </row>
    <row r="925" spans="18:18">
      <c r="R925" s="137" t="e" cm="1">
        <f t="array" ref="R925">_xlfn._xlws.FILTER(#REF!, E925:P925=MIN(E925:P925))</f>
        <v>#REF!</v>
      </c>
    </row>
    <row r="926" spans="18:18">
      <c r="R926" s="137" t="e" cm="1">
        <f t="array" ref="R926">_xlfn._xlws.FILTER(#REF!, E926:P926=MIN(E926:P926))</f>
        <v>#REF!</v>
      </c>
    </row>
    <row r="927" spans="18:18">
      <c r="R927" s="137" t="e" cm="1">
        <f t="array" ref="R927">_xlfn._xlws.FILTER(#REF!, E927:P927=MIN(E927:P927))</f>
        <v>#REF!</v>
      </c>
    </row>
    <row r="928" spans="18:18">
      <c r="R928" s="137" t="e" cm="1">
        <f t="array" ref="R928">_xlfn._xlws.FILTER(#REF!, E928:P928=MIN(E928:P928))</f>
        <v>#REF!</v>
      </c>
    </row>
    <row r="929" spans="18:18">
      <c r="R929" s="137" t="e" cm="1">
        <f t="array" ref="R929">_xlfn._xlws.FILTER(#REF!, E929:P929=MIN(E929:P929))</f>
        <v>#REF!</v>
      </c>
    </row>
    <row r="930" spans="18:18">
      <c r="R930" s="137" t="e" cm="1">
        <f t="array" ref="R930">_xlfn._xlws.FILTER(#REF!, E930:P930=MIN(E930:P930))</f>
        <v>#REF!</v>
      </c>
    </row>
    <row r="931" spans="18:18">
      <c r="R931" s="137" t="e" cm="1">
        <f t="array" ref="R931">_xlfn._xlws.FILTER(#REF!, E931:P931=MIN(E931:P931))</f>
        <v>#REF!</v>
      </c>
    </row>
    <row r="932" spans="18:18">
      <c r="R932" s="137" t="e" cm="1">
        <f t="array" ref="R932">_xlfn._xlws.FILTER(#REF!, E932:P932=MIN(E932:P932))</f>
        <v>#REF!</v>
      </c>
    </row>
    <row r="933" spans="18:18">
      <c r="R933" s="137" t="e" cm="1">
        <f t="array" ref="R933">_xlfn._xlws.FILTER(#REF!, E933:P933=MIN(E933:P933))</f>
        <v>#REF!</v>
      </c>
    </row>
    <row r="934" spans="18:18">
      <c r="R934" s="137" t="e" cm="1">
        <f t="array" ref="R934">_xlfn._xlws.FILTER(#REF!, E934:P934=MIN(E934:P934))</f>
        <v>#REF!</v>
      </c>
    </row>
    <row r="935" spans="18:18">
      <c r="R935" s="137" t="e" cm="1">
        <f t="array" ref="R935">_xlfn._xlws.FILTER(#REF!, E935:P935=MIN(E935:P935))</f>
        <v>#REF!</v>
      </c>
    </row>
    <row r="936" spans="18:18">
      <c r="R936" s="137" t="e" cm="1">
        <f t="array" ref="R936">_xlfn._xlws.FILTER(#REF!, E936:P936=MIN(E936:P936))</f>
        <v>#REF!</v>
      </c>
    </row>
    <row r="937" spans="18:18">
      <c r="R937" s="137" t="e" cm="1">
        <f t="array" ref="R937">_xlfn._xlws.FILTER(#REF!, E937:P937=MIN(E937:P937))</f>
        <v>#REF!</v>
      </c>
    </row>
    <row r="938" spans="18:18">
      <c r="R938" s="137" t="e" cm="1">
        <f t="array" ref="R938">_xlfn._xlws.FILTER(#REF!, E938:P938=MIN(E938:P938))</f>
        <v>#REF!</v>
      </c>
    </row>
    <row r="939" spans="18:18">
      <c r="R939" s="137" t="e" cm="1">
        <f t="array" ref="R939">_xlfn._xlws.FILTER(#REF!, E939:P939=MIN(E939:P939))</f>
        <v>#REF!</v>
      </c>
    </row>
    <row r="940" spans="18:18">
      <c r="R940" s="137" t="e" cm="1">
        <f t="array" ref="R940">_xlfn._xlws.FILTER(#REF!, E940:P940=MIN(E940:P940))</f>
        <v>#REF!</v>
      </c>
    </row>
    <row r="941" spans="18:18">
      <c r="R941" s="137" t="e" cm="1">
        <f t="array" ref="R941">_xlfn._xlws.FILTER(#REF!, E941:P941=MIN(E941:P941))</f>
        <v>#REF!</v>
      </c>
    </row>
    <row r="942" spans="18:18">
      <c r="R942" s="137" t="e" cm="1">
        <f t="array" ref="R942">_xlfn._xlws.FILTER(#REF!, E942:P942=MIN(E942:P942))</f>
        <v>#REF!</v>
      </c>
    </row>
    <row r="943" spans="18:18">
      <c r="R943" s="137" t="e" cm="1">
        <f t="array" ref="R943">_xlfn._xlws.FILTER(#REF!, E943:P943=MIN(E943:P943))</f>
        <v>#REF!</v>
      </c>
    </row>
    <row r="944" spans="18:18">
      <c r="R944" s="137" t="e" cm="1">
        <f t="array" ref="R944">_xlfn._xlws.FILTER(#REF!, E944:P944=MIN(E944:P944))</f>
        <v>#REF!</v>
      </c>
    </row>
    <row r="945" spans="18:18">
      <c r="R945" s="137" t="e" cm="1">
        <f t="array" ref="R945">_xlfn._xlws.FILTER(#REF!, E945:P945=MIN(E945:P945))</f>
        <v>#REF!</v>
      </c>
    </row>
    <row r="946" spans="18:18">
      <c r="R946" s="137" t="e" cm="1">
        <f t="array" ref="R946">_xlfn._xlws.FILTER(#REF!, E946:P946=MIN(E946:P946))</f>
        <v>#REF!</v>
      </c>
    </row>
    <row r="947" spans="18:18">
      <c r="R947" s="137" t="e" cm="1">
        <f t="array" ref="R947">_xlfn._xlws.FILTER(#REF!, E947:P947=MIN(E947:P947))</f>
        <v>#REF!</v>
      </c>
    </row>
    <row r="948" spans="18:18">
      <c r="R948" s="137" t="e" cm="1">
        <f t="array" ref="R948">_xlfn._xlws.FILTER(#REF!, E948:P948=MIN(E948:P948))</f>
        <v>#REF!</v>
      </c>
    </row>
    <row r="949" spans="18:18">
      <c r="R949" s="137" t="e" cm="1">
        <f t="array" ref="R949">_xlfn._xlws.FILTER(#REF!, E949:P949=MIN(E949:P949))</f>
        <v>#REF!</v>
      </c>
    </row>
    <row r="950" spans="18:18">
      <c r="R950" s="137" t="e" cm="1">
        <f t="array" ref="R950">_xlfn._xlws.FILTER(#REF!, E950:P950=MIN(E950:P950))</f>
        <v>#REF!</v>
      </c>
    </row>
    <row r="951" spans="18:18">
      <c r="R951" s="137" t="e" cm="1">
        <f t="array" ref="R951">_xlfn._xlws.FILTER(#REF!, E951:P951=MIN(E951:P951))</f>
        <v>#REF!</v>
      </c>
    </row>
    <row r="952" spans="18:18">
      <c r="R952" s="137" t="e" cm="1">
        <f t="array" ref="R952">_xlfn._xlws.FILTER(#REF!, E952:P952=MIN(E952:P952))</f>
        <v>#REF!</v>
      </c>
    </row>
    <row r="953" spans="18:18">
      <c r="R953" s="137" t="e" cm="1">
        <f t="array" ref="R953">_xlfn._xlws.FILTER(#REF!, E953:P953=MIN(E953:P953))</f>
        <v>#REF!</v>
      </c>
    </row>
    <row r="954" spans="18:18">
      <c r="R954" s="137" t="e" cm="1">
        <f t="array" ref="R954">_xlfn._xlws.FILTER(#REF!, E954:P954=MIN(E954:P954))</f>
        <v>#REF!</v>
      </c>
    </row>
    <row r="955" spans="18:18">
      <c r="R955" s="137" t="e" cm="1">
        <f t="array" ref="R955">_xlfn._xlws.FILTER(#REF!, E955:P955=MIN(E955:P955))</f>
        <v>#REF!</v>
      </c>
    </row>
    <row r="956" spans="18:18">
      <c r="R956" s="137" t="e" cm="1">
        <f t="array" ref="R956">_xlfn._xlws.FILTER(#REF!, E956:P956=MIN(E956:P956))</f>
        <v>#REF!</v>
      </c>
    </row>
    <row r="957" spans="18:18">
      <c r="R957" s="137" t="e" cm="1">
        <f t="array" ref="R957">_xlfn._xlws.FILTER(#REF!, E957:P957=MIN(E957:P957))</f>
        <v>#REF!</v>
      </c>
    </row>
    <row r="958" spans="18:18">
      <c r="R958" s="137" t="e" cm="1">
        <f t="array" ref="R958">_xlfn._xlws.FILTER(#REF!, E958:P958=MIN(E958:P958))</f>
        <v>#REF!</v>
      </c>
    </row>
    <row r="959" spans="18:18">
      <c r="R959" s="137" t="e" cm="1">
        <f t="array" ref="R959">_xlfn._xlws.FILTER(#REF!, E959:P959=MIN(E959:P959))</f>
        <v>#REF!</v>
      </c>
    </row>
    <row r="960" spans="18:18">
      <c r="R960" s="137" t="e" cm="1">
        <f t="array" ref="R960">_xlfn._xlws.FILTER(#REF!, E960:P960=MIN(E960:P960))</f>
        <v>#REF!</v>
      </c>
    </row>
    <row r="961" spans="18:18">
      <c r="R961" s="137" t="e" cm="1">
        <f t="array" ref="R961">_xlfn._xlws.FILTER(#REF!, E961:P961=MIN(E961:P961))</f>
        <v>#REF!</v>
      </c>
    </row>
    <row r="962" spans="18:18">
      <c r="R962" s="137" t="e" cm="1">
        <f t="array" ref="R962">_xlfn._xlws.FILTER(#REF!, E962:P962=MIN(E962:P962))</f>
        <v>#REF!</v>
      </c>
    </row>
    <row r="963" spans="18:18">
      <c r="R963" s="137" t="e" cm="1">
        <f t="array" ref="R963">_xlfn._xlws.FILTER(#REF!, E963:P963=MIN(E963:P963))</f>
        <v>#REF!</v>
      </c>
    </row>
    <row r="964" spans="18:18">
      <c r="R964" s="137" t="e" cm="1">
        <f t="array" ref="R964">_xlfn._xlws.FILTER(#REF!, E964:P964=MIN(E964:P964))</f>
        <v>#REF!</v>
      </c>
    </row>
    <row r="965" spans="18:18">
      <c r="R965" s="137" t="e" cm="1">
        <f t="array" ref="R965">_xlfn._xlws.FILTER(#REF!, E965:P965=MIN(E965:P965))</f>
        <v>#REF!</v>
      </c>
    </row>
    <row r="966" spans="18:18">
      <c r="R966" s="137" t="e" cm="1">
        <f t="array" ref="R966">_xlfn._xlws.FILTER(#REF!, E966:P966=MIN(E966:P966))</f>
        <v>#REF!</v>
      </c>
    </row>
    <row r="967" spans="18:18">
      <c r="R967" s="137" t="e" cm="1">
        <f t="array" ref="R967">_xlfn._xlws.FILTER(#REF!, E967:P967=MIN(E967:P967))</f>
        <v>#REF!</v>
      </c>
    </row>
    <row r="968" spans="18:18">
      <c r="R968" s="137" t="e" cm="1">
        <f t="array" ref="R968">_xlfn._xlws.FILTER(#REF!, E968:P968=MIN(E968:P968))</f>
        <v>#REF!</v>
      </c>
    </row>
    <row r="969" spans="18:18">
      <c r="R969" s="137" t="e" cm="1">
        <f t="array" ref="R969">_xlfn._xlws.FILTER(#REF!, E969:P969=MIN(E969:P969))</f>
        <v>#REF!</v>
      </c>
    </row>
    <row r="970" spans="18:18">
      <c r="R970" s="137" t="e" cm="1">
        <f t="array" ref="R970">_xlfn._xlws.FILTER(#REF!, E970:P970=MIN(E970:P970))</f>
        <v>#REF!</v>
      </c>
    </row>
    <row r="971" spans="18:18">
      <c r="R971" s="137" t="e" cm="1">
        <f t="array" ref="R971">_xlfn._xlws.FILTER(#REF!, E971:P971=MIN(E971:P971))</f>
        <v>#REF!</v>
      </c>
    </row>
    <row r="972" spans="18:18">
      <c r="R972" s="137" t="e" cm="1">
        <f t="array" ref="R972">_xlfn._xlws.FILTER(#REF!, E972:P972=MIN(E972:P972))</f>
        <v>#REF!</v>
      </c>
    </row>
    <row r="973" spans="18:18">
      <c r="R973" s="137" t="e" cm="1">
        <f t="array" ref="R973">_xlfn._xlws.FILTER(#REF!, E973:P973=MIN(E973:P973))</f>
        <v>#REF!</v>
      </c>
    </row>
    <row r="974" spans="18:18">
      <c r="R974" s="137" t="e" cm="1">
        <f t="array" ref="R974">_xlfn._xlws.FILTER(#REF!, E974:P974=MIN(E974:P974))</f>
        <v>#REF!</v>
      </c>
    </row>
    <row r="975" spans="18:18">
      <c r="R975" s="137" t="e" cm="1">
        <f t="array" ref="R975">_xlfn._xlws.FILTER(#REF!, E975:P975=MIN(E975:P975))</f>
        <v>#REF!</v>
      </c>
    </row>
    <row r="976" spans="18:18">
      <c r="R976" s="137" t="e" cm="1">
        <f t="array" ref="R976">_xlfn._xlws.FILTER(#REF!, E976:P976=MIN(E976:P976))</f>
        <v>#REF!</v>
      </c>
    </row>
    <row r="977" spans="18:18">
      <c r="R977" s="137" t="e" cm="1">
        <f t="array" ref="R977">_xlfn._xlws.FILTER(#REF!, E977:P977=MIN(E977:P977))</f>
        <v>#REF!</v>
      </c>
    </row>
    <row r="978" spans="18:18">
      <c r="R978" s="137" t="e" cm="1">
        <f t="array" ref="R978">_xlfn._xlws.FILTER(#REF!, E978:P978=MIN(E978:P978))</f>
        <v>#REF!</v>
      </c>
    </row>
    <row r="979" spans="18:18">
      <c r="R979" s="137" t="e" cm="1">
        <f t="array" ref="R979">_xlfn._xlws.FILTER(#REF!, E979:P979=MIN(E979:P979))</f>
        <v>#REF!</v>
      </c>
    </row>
    <row r="980" spans="18:18">
      <c r="R980" s="137" t="e" cm="1">
        <f t="array" ref="R980">_xlfn._xlws.FILTER(#REF!, E980:P980=MIN(E980:P980))</f>
        <v>#REF!</v>
      </c>
    </row>
    <row r="981" spans="18:18">
      <c r="R981" s="137" t="e" cm="1">
        <f t="array" ref="R981">_xlfn._xlws.FILTER(#REF!, E981:P981=MIN(E981:P981))</f>
        <v>#REF!</v>
      </c>
    </row>
    <row r="982" spans="18:18">
      <c r="R982" s="137" t="e" cm="1">
        <f t="array" ref="R982">_xlfn._xlws.FILTER(#REF!, E982:P982=MIN(E982:P982))</f>
        <v>#REF!</v>
      </c>
    </row>
    <row r="983" spans="18:18">
      <c r="R983" s="137" t="e" cm="1">
        <f t="array" ref="R983">_xlfn._xlws.FILTER(#REF!, E983:P983=MIN(E983:P983))</f>
        <v>#REF!</v>
      </c>
    </row>
    <row r="984" spans="18:18">
      <c r="R984" s="137" t="e" cm="1">
        <f t="array" ref="R984">_xlfn._xlws.FILTER(#REF!, E984:P984=MIN(E984:P984))</f>
        <v>#REF!</v>
      </c>
    </row>
    <row r="985" spans="18:18">
      <c r="R985" s="137" t="e" cm="1">
        <f t="array" ref="R985">_xlfn._xlws.FILTER(#REF!, E985:P985=MIN(E985:P985))</f>
        <v>#REF!</v>
      </c>
    </row>
    <row r="986" spans="18:18">
      <c r="R986" s="137" t="e" cm="1">
        <f t="array" ref="R986">_xlfn._xlws.FILTER(#REF!, E986:P986=MIN(E986:P986))</f>
        <v>#REF!</v>
      </c>
    </row>
    <row r="987" spans="18:18">
      <c r="R987" s="137" t="e" cm="1">
        <f t="array" ref="R987">_xlfn._xlws.FILTER(#REF!, E987:P987=MIN(E987:P987))</f>
        <v>#REF!</v>
      </c>
    </row>
    <row r="988" spans="18:18">
      <c r="R988" s="137" t="e" cm="1">
        <f t="array" ref="R988">_xlfn._xlws.FILTER(#REF!, E988:P988=MIN(E988:P988))</f>
        <v>#REF!</v>
      </c>
    </row>
    <row r="989" spans="18:18">
      <c r="R989" s="137" t="e" cm="1">
        <f t="array" ref="R989">_xlfn._xlws.FILTER(#REF!, E989:P989=MIN(E989:P989))</f>
        <v>#REF!</v>
      </c>
    </row>
    <row r="990" spans="18:18">
      <c r="R990" s="137" t="e" cm="1">
        <f t="array" ref="R990">_xlfn._xlws.FILTER(#REF!, E990:P990=MIN(E990:P990))</f>
        <v>#REF!</v>
      </c>
    </row>
    <row r="991" spans="18:18">
      <c r="R991" s="137" t="e" cm="1">
        <f t="array" ref="R991">_xlfn._xlws.FILTER(#REF!, E991:P991=MIN(E991:P991))</f>
        <v>#REF!</v>
      </c>
    </row>
    <row r="992" spans="18:18">
      <c r="R992" s="137" t="e" cm="1">
        <f t="array" ref="R992">_xlfn._xlws.FILTER(#REF!, E992:P992=MIN(E992:P992))</f>
        <v>#REF!</v>
      </c>
    </row>
    <row r="993" spans="18:18">
      <c r="R993" s="137" t="e" cm="1">
        <f t="array" ref="R993">_xlfn._xlws.FILTER(#REF!, E993:P993=MIN(E993:P993))</f>
        <v>#REF!</v>
      </c>
    </row>
    <row r="994" spans="18:18">
      <c r="R994" s="137" t="e" cm="1">
        <f t="array" ref="R994">_xlfn._xlws.FILTER(#REF!, E994:P994=MIN(E994:P994))</f>
        <v>#REF!</v>
      </c>
    </row>
    <row r="995" spans="18:18">
      <c r="R995" s="137" t="e" cm="1">
        <f t="array" ref="R995">_xlfn._xlws.FILTER(#REF!, E995:P995=MIN(E995:P995))</f>
        <v>#REF!</v>
      </c>
    </row>
    <row r="996" spans="18:18">
      <c r="R996" s="137" t="e" cm="1">
        <f t="array" ref="R996">_xlfn._xlws.FILTER(#REF!, E996:P996=MIN(E996:P996))</f>
        <v>#REF!</v>
      </c>
    </row>
    <row r="997" spans="18:18">
      <c r="R997" s="137" t="e" cm="1">
        <f t="array" ref="R997">_xlfn._xlws.FILTER(#REF!, E997:P997=MIN(E997:P997))</f>
        <v>#REF!</v>
      </c>
    </row>
    <row r="998" spans="18:18">
      <c r="R998" s="137" t="e" cm="1">
        <f t="array" ref="R998">_xlfn._xlws.FILTER(#REF!, E998:P998=MIN(E998:P998))</f>
        <v>#REF!</v>
      </c>
    </row>
    <row r="999" spans="18:18">
      <c r="R999" s="137" t="e" cm="1">
        <f t="array" ref="R999">_xlfn._xlws.FILTER(#REF!, E999:P999=MIN(E999:P999))</f>
        <v>#REF!</v>
      </c>
    </row>
    <row r="1000" spans="18:18">
      <c r="R1000" s="137" t="e" cm="1">
        <f t="array" ref="R1000">_xlfn._xlws.FILTER(#REF!, E1000:P1000=MIN(E1000:P1000))</f>
        <v>#REF!</v>
      </c>
    </row>
    <row r="1001" spans="18:18">
      <c r="R1001" s="137" t="e" cm="1">
        <f t="array" ref="R1001">_xlfn._xlws.FILTER(#REF!, E1001:P1001=MIN(E1001:P1001))</f>
        <v>#REF!</v>
      </c>
    </row>
    <row r="1002" spans="18:18">
      <c r="R1002" s="137" t="e" cm="1">
        <f t="array" ref="R1002">_xlfn._xlws.FILTER(#REF!, E1002:P1002=MIN(E1002:P1002))</f>
        <v>#REF!</v>
      </c>
    </row>
    <row r="1003" spans="18:18">
      <c r="R1003" s="137" t="e" cm="1">
        <f t="array" ref="R1003">_xlfn._xlws.FILTER(#REF!, E1003:P1003=MIN(E1003:P1003))</f>
        <v>#REF!</v>
      </c>
    </row>
    <row r="1004" spans="18:18">
      <c r="R1004" s="137" t="e" cm="1">
        <f t="array" ref="R1004">_xlfn._xlws.FILTER(#REF!, E1004:P1004=MIN(E1004:P1004))</f>
        <v>#REF!</v>
      </c>
    </row>
    <row r="1005" spans="18:18">
      <c r="R1005" s="137" t="e" cm="1">
        <f t="array" ref="R1005">_xlfn._xlws.FILTER(#REF!, E1005:P1005=MIN(E1005:P1005))</f>
        <v>#REF!</v>
      </c>
    </row>
    <row r="1006" spans="18:18">
      <c r="R1006" s="137" t="e" cm="1">
        <f t="array" ref="R1006">_xlfn._xlws.FILTER(#REF!, E1006:P1006=MIN(E1006:P1006))</f>
        <v>#REF!</v>
      </c>
    </row>
    <row r="1007" spans="18:18">
      <c r="R1007" s="137" t="e" cm="1">
        <f t="array" ref="R1007">_xlfn._xlws.FILTER(#REF!, E1007:P1007=MIN(E1007:P1007))</f>
        <v>#REF!</v>
      </c>
    </row>
    <row r="1008" spans="18:18">
      <c r="R1008" s="137" t="e" cm="1">
        <f t="array" ref="R1008">_xlfn._xlws.FILTER(#REF!, E1008:P1008=MIN(E1008:P1008))</f>
        <v>#REF!</v>
      </c>
    </row>
    <row r="1009" spans="18:18">
      <c r="R1009" s="137" t="e" cm="1">
        <f t="array" ref="R1009">_xlfn._xlws.FILTER(#REF!, E1009:P1009=MIN(E1009:P1009))</f>
        <v>#REF!</v>
      </c>
    </row>
    <row r="1010" spans="18:18">
      <c r="R1010" s="137" t="e" cm="1">
        <f t="array" ref="R1010">_xlfn._xlws.FILTER(#REF!, E1010:P1010=MIN(E1010:P1010))</f>
        <v>#REF!</v>
      </c>
    </row>
    <row r="1011" spans="18:18">
      <c r="R1011" s="137" t="e" cm="1">
        <f t="array" ref="R1011">_xlfn._xlws.FILTER(#REF!, E1011:P1011=MIN(E1011:P1011))</f>
        <v>#REF!</v>
      </c>
    </row>
    <row r="1012" spans="18:18">
      <c r="R1012" s="137" t="e" cm="1">
        <f t="array" ref="R1012">_xlfn._xlws.FILTER(#REF!, E1012:P1012=MIN(E1012:P1012))</f>
        <v>#REF!</v>
      </c>
    </row>
    <row r="1013" spans="18:18">
      <c r="R1013" s="137" t="e" cm="1">
        <f t="array" ref="R1013">_xlfn._xlws.FILTER(#REF!, E1013:P1013=MIN(E1013:P1013))</f>
        <v>#REF!</v>
      </c>
    </row>
    <row r="1014" spans="18:18">
      <c r="R1014" s="137" t="e" cm="1">
        <f t="array" ref="R1014">_xlfn._xlws.FILTER(#REF!, E1014:P1014=MIN(E1014:P1014))</f>
        <v>#REF!</v>
      </c>
    </row>
    <row r="1015" spans="18:18">
      <c r="R1015" s="137" t="e" cm="1">
        <f t="array" ref="R1015">_xlfn._xlws.FILTER(#REF!, E1015:P1015=MIN(E1015:P1015))</f>
        <v>#REF!</v>
      </c>
    </row>
    <row r="1016" spans="18:18">
      <c r="R1016" s="137" t="e" cm="1">
        <f t="array" ref="R1016">_xlfn._xlws.FILTER(#REF!, E1016:P1016=MIN(E1016:P1016))</f>
        <v>#REF!</v>
      </c>
    </row>
    <row r="1017" spans="18:18">
      <c r="R1017" s="137" t="e" cm="1">
        <f t="array" ref="R1017">_xlfn._xlws.FILTER(#REF!, E1017:P1017=MIN(E1017:P1017))</f>
        <v>#REF!</v>
      </c>
    </row>
    <row r="1018" spans="18:18">
      <c r="R1018" s="137" t="e" cm="1">
        <f t="array" ref="R1018">_xlfn._xlws.FILTER(#REF!, E1018:P1018=MIN(E1018:P1018))</f>
        <v>#REF!</v>
      </c>
    </row>
    <row r="1019" spans="18:18">
      <c r="R1019" s="137" t="e" cm="1">
        <f t="array" ref="R1019">_xlfn._xlws.FILTER(#REF!, E1019:P1019=MIN(E1019:P1019))</f>
        <v>#REF!</v>
      </c>
    </row>
    <row r="1020" spans="18:18">
      <c r="R1020" s="137" t="e" cm="1">
        <f t="array" ref="R1020">_xlfn._xlws.FILTER(#REF!, E1020:P1020=MIN(E1020:P1020))</f>
        <v>#REF!</v>
      </c>
    </row>
    <row r="1021" spans="18:18">
      <c r="R1021" s="137" t="e" cm="1">
        <f t="array" ref="R1021">_xlfn._xlws.FILTER(#REF!, E1021:P1021=MIN(E1021:P1021))</f>
        <v>#REF!</v>
      </c>
    </row>
    <row r="1022" spans="18:18">
      <c r="R1022" s="137" t="e" cm="1">
        <f t="array" ref="R1022">_xlfn._xlws.FILTER(#REF!, E1022:P1022=MIN(E1022:P1022))</f>
        <v>#REF!</v>
      </c>
    </row>
    <row r="1023" spans="18:18">
      <c r="R1023" s="137" t="e" cm="1">
        <f t="array" ref="R1023">_xlfn._xlws.FILTER(#REF!, E1023:P1023=MIN(E1023:P1023))</f>
        <v>#REF!</v>
      </c>
    </row>
    <row r="1024" spans="18:18">
      <c r="R1024" s="137" t="e" cm="1">
        <f t="array" ref="R1024">_xlfn._xlws.FILTER(#REF!, E1024:P1024=MIN(E1024:P1024))</f>
        <v>#REF!</v>
      </c>
    </row>
    <row r="1025" spans="18:18">
      <c r="R1025" s="137" t="e" cm="1">
        <f t="array" ref="R1025">_xlfn._xlws.FILTER(#REF!, E1025:P1025=MIN(E1025:P1025))</f>
        <v>#REF!</v>
      </c>
    </row>
    <row r="1026" spans="18:18">
      <c r="R1026" s="137" t="e" cm="1">
        <f t="array" ref="R1026">_xlfn._xlws.FILTER(#REF!, E1026:P1026=MIN(E1026:P1026))</f>
        <v>#REF!</v>
      </c>
    </row>
    <row r="1027" spans="18:18">
      <c r="R1027" s="137" t="e" cm="1">
        <f t="array" ref="R1027">_xlfn._xlws.FILTER(#REF!, E1027:P1027=MIN(E1027:P1027))</f>
        <v>#REF!</v>
      </c>
    </row>
    <row r="1028" spans="18:18">
      <c r="R1028" s="137" t="e" cm="1">
        <f t="array" ref="R1028">_xlfn._xlws.FILTER(#REF!, E1028:P1028=MIN(E1028:P1028))</f>
        <v>#REF!</v>
      </c>
    </row>
    <row r="1029" spans="18:18">
      <c r="R1029" s="137" t="e" cm="1">
        <f t="array" ref="R1029">_xlfn._xlws.FILTER(#REF!, E1029:P1029=MIN(E1029:P1029))</f>
        <v>#REF!</v>
      </c>
    </row>
    <row r="1030" spans="18:18">
      <c r="R1030" s="137" t="e" cm="1">
        <f t="array" ref="R1030">_xlfn._xlws.FILTER(#REF!, E1030:P1030=MIN(E1030:P1030))</f>
        <v>#REF!</v>
      </c>
    </row>
    <row r="1031" spans="18:18">
      <c r="R1031" s="137" t="e" cm="1">
        <f t="array" ref="R1031">_xlfn._xlws.FILTER(#REF!, E1031:P1031=MIN(E1031:P1031))</f>
        <v>#REF!</v>
      </c>
    </row>
    <row r="1032" spans="18:18">
      <c r="R1032" s="137" t="e" cm="1">
        <f t="array" ref="R1032">_xlfn._xlws.FILTER(#REF!, E1032:P1032=MIN(E1032:P1032))</f>
        <v>#REF!</v>
      </c>
    </row>
    <row r="1033" spans="18:18">
      <c r="R1033" s="137" t="e" cm="1">
        <f t="array" ref="R1033">_xlfn._xlws.FILTER(#REF!, E1033:P1033=MIN(E1033:P1033))</f>
        <v>#REF!</v>
      </c>
    </row>
    <row r="1034" spans="18:18">
      <c r="R1034" s="137" t="e" cm="1">
        <f t="array" ref="R1034">_xlfn._xlws.FILTER(#REF!, E1034:P1034=MIN(E1034:P1034))</f>
        <v>#REF!</v>
      </c>
    </row>
    <row r="1035" spans="18:18">
      <c r="R1035" s="137" t="e" cm="1">
        <f t="array" ref="R1035">_xlfn._xlws.FILTER(#REF!, E1035:P1035=MIN(E1035:P1035))</f>
        <v>#REF!</v>
      </c>
    </row>
    <row r="1036" spans="18:18">
      <c r="R1036" s="137" t="e" cm="1">
        <f t="array" ref="R1036">_xlfn._xlws.FILTER(#REF!, E1036:P1036=MIN(E1036:P1036))</f>
        <v>#REF!</v>
      </c>
    </row>
    <row r="1037" spans="18:18">
      <c r="R1037" s="137" t="e" cm="1">
        <f t="array" ref="R1037">_xlfn._xlws.FILTER(#REF!, E1037:P1037=MIN(E1037:P1037))</f>
        <v>#REF!</v>
      </c>
    </row>
    <row r="1038" spans="18:18">
      <c r="R1038" s="137" t="e" cm="1">
        <f t="array" ref="R1038">_xlfn._xlws.FILTER(#REF!, E1038:P1038=MIN(E1038:P1038))</f>
        <v>#REF!</v>
      </c>
    </row>
    <row r="1039" spans="18:18">
      <c r="R1039" s="137" t="e" cm="1">
        <f t="array" ref="R1039">_xlfn._xlws.FILTER(#REF!, E1039:P1039=MIN(E1039:P1039))</f>
        <v>#REF!</v>
      </c>
    </row>
    <row r="1040" spans="18:18">
      <c r="R1040" s="137" t="e" cm="1">
        <f t="array" ref="R1040">_xlfn._xlws.FILTER(#REF!, E1040:P1040=MIN(E1040:P1040))</f>
        <v>#REF!</v>
      </c>
    </row>
    <row r="1041" spans="18:18">
      <c r="R1041" s="137" t="e" cm="1">
        <f t="array" ref="R1041">_xlfn._xlws.FILTER(#REF!, E1041:P1041=MIN(E1041:P1041))</f>
        <v>#REF!</v>
      </c>
    </row>
    <row r="1042" spans="18:18">
      <c r="R1042" s="137" t="e" cm="1">
        <f t="array" ref="R1042">_xlfn._xlws.FILTER(#REF!, E1042:P1042=MIN(E1042:P1042))</f>
        <v>#REF!</v>
      </c>
    </row>
    <row r="1043" spans="18:18">
      <c r="R1043" s="137" t="e" cm="1">
        <f t="array" ref="R1043">_xlfn._xlws.FILTER(#REF!, E1043:P1043=MIN(E1043:P1043))</f>
        <v>#REF!</v>
      </c>
    </row>
    <row r="1044" spans="18:18">
      <c r="R1044" s="137" t="e" cm="1">
        <f t="array" ref="R1044">_xlfn._xlws.FILTER(#REF!, E1044:P1044=MIN(E1044:P1044))</f>
        <v>#REF!</v>
      </c>
    </row>
    <row r="1045" spans="18:18">
      <c r="R1045" s="137" t="e" cm="1">
        <f t="array" ref="R1045">_xlfn._xlws.FILTER(#REF!, E1045:P1045=MIN(E1045:P1045))</f>
        <v>#REF!</v>
      </c>
    </row>
    <row r="1046" spans="18:18">
      <c r="R1046" s="137" t="e" cm="1">
        <f t="array" ref="R1046">_xlfn._xlws.FILTER(#REF!, E1046:P1046=MIN(E1046:P1046))</f>
        <v>#REF!</v>
      </c>
    </row>
    <row r="1047" spans="18:18">
      <c r="R1047" s="137" t="e" cm="1">
        <f t="array" ref="R1047">_xlfn._xlws.FILTER(#REF!, E1047:P1047=MIN(E1047:P1047))</f>
        <v>#REF!</v>
      </c>
    </row>
    <row r="1048" spans="18:18">
      <c r="R1048" s="137" t="e" cm="1">
        <f t="array" ref="R1048">_xlfn._xlws.FILTER(#REF!, E1048:P1048=MIN(E1048:P1048))</f>
        <v>#REF!</v>
      </c>
    </row>
    <row r="1049" spans="18:18">
      <c r="R1049" s="137" t="e" cm="1">
        <f t="array" ref="R1049">_xlfn._xlws.FILTER(#REF!, E1049:P1049=MIN(E1049:P1049))</f>
        <v>#REF!</v>
      </c>
    </row>
    <row r="1050" spans="18:18">
      <c r="R1050" s="137" t="e" cm="1">
        <f t="array" ref="R1050">_xlfn._xlws.FILTER(#REF!, E1050:P1050=MIN(E1050:P1050))</f>
        <v>#REF!</v>
      </c>
    </row>
    <row r="1051" spans="18:18">
      <c r="R1051" s="137" t="e" cm="1">
        <f t="array" ref="R1051">_xlfn._xlws.FILTER(#REF!, E1051:P1051=MIN(E1051:P1051))</f>
        <v>#REF!</v>
      </c>
    </row>
    <row r="1052" spans="18:18">
      <c r="R1052" s="137" t="e" cm="1">
        <f t="array" ref="R1052">_xlfn._xlws.FILTER(#REF!, E1052:P1052=MIN(E1052:P1052))</f>
        <v>#REF!</v>
      </c>
    </row>
    <row r="1053" spans="18:18">
      <c r="R1053" s="137" t="e" cm="1">
        <f t="array" ref="R1053">_xlfn._xlws.FILTER(#REF!, E1053:P1053=MIN(E1053:P1053))</f>
        <v>#REF!</v>
      </c>
    </row>
    <row r="1054" spans="18:18">
      <c r="R1054" s="137" t="e" cm="1">
        <f t="array" ref="R1054">_xlfn._xlws.FILTER(#REF!, E1054:P1054=MIN(E1054:P1054))</f>
        <v>#REF!</v>
      </c>
    </row>
    <row r="1055" spans="18:18">
      <c r="R1055" s="137" t="e" cm="1">
        <f t="array" ref="R1055">_xlfn._xlws.FILTER(#REF!, E1055:P1055=MIN(E1055:P1055))</f>
        <v>#REF!</v>
      </c>
    </row>
    <row r="1056" spans="18:18">
      <c r="R1056" s="137" t="e" cm="1">
        <f t="array" ref="R1056">_xlfn._xlws.FILTER(#REF!, E1056:P1056=MIN(E1056:P1056))</f>
        <v>#REF!</v>
      </c>
    </row>
    <row r="1057" spans="18:18">
      <c r="R1057" s="137" t="e" cm="1">
        <f t="array" ref="R1057">_xlfn._xlws.FILTER(#REF!, E1057:P1057=MIN(E1057:P1057))</f>
        <v>#REF!</v>
      </c>
    </row>
    <row r="1058" spans="18:18">
      <c r="R1058" s="137" t="e" cm="1">
        <f t="array" ref="R1058">_xlfn._xlws.FILTER(#REF!, E1058:P1058=MIN(E1058:P1058))</f>
        <v>#REF!</v>
      </c>
    </row>
    <row r="1059" spans="18:18">
      <c r="R1059" s="137" t="e" cm="1">
        <f t="array" ref="R1059">_xlfn._xlws.FILTER(#REF!, E1059:P1059=MIN(E1059:P1059))</f>
        <v>#REF!</v>
      </c>
    </row>
    <row r="1060" spans="18:18">
      <c r="R1060" s="137" t="e" cm="1">
        <f t="array" ref="R1060">_xlfn._xlws.FILTER(#REF!, E1060:P1060=MIN(E1060:P1060))</f>
        <v>#REF!</v>
      </c>
    </row>
    <row r="1061" spans="18:18">
      <c r="R1061" s="137" t="e" cm="1">
        <f t="array" ref="R1061">_xlfn._xlws.FILTER(#REF!, E1061:P1061=MIN(E1061:P1061))</f>
        <v>#REF!</v>
      </c>
    </row>
    <row r="1062" spans="18:18">
      <c r="R1062" s="137" t="e" cm="1">
        <f t="array" ref="R1062">_xlfn._xlws.FILTER(#REF!, E1062:P1062=MIN(E1062:P1062))</f>
        <v>#REF!</v>
      </c>
    </row>
    <row r="1063" spans="18:18">
      <c r="R1063" s="137" t="e" cm="1">
        <f t="array" ref="R1063">_xlfn._xlws.FILTER(#REF!, E1063:P1063=MIN(E1063:P1063))</f>
        <v>#REF!</v>
      </c>
    </row>
    <row r="1064" spans="18:18">
      <c r="R1064" s="137" t="e" cm="1">
        <f t="array" ref="R1064">_xlfn._xlws.FILTER(#REF!, E1064:P1064=MIN(E1064:P1064))</f>
        <v>#REF!</v>
      </c>
    </row>
    <row r="1065" spans="18:18">
      <c r="R1065" s="137" t="e" cm="1">
        <f t="array" ref="R1065">_xlfn._xlws.FILTER(#REF!, E1065:P1065=MIN(E1065:P1065))</f>
        <v>#REF!</v>
      </c>
    </row>
    <row r="1066" spans="18:18">
      <c r="R1066" s="137" t="e" cm="1">
        <f t="array" ref="R1066">_xlfn._xlws.FILTER(#REF!, E1066:P1066=MIN(E1066:P1066))</f>
        <v>#REF!</v>
      </c>
    </row>
    <row r="1067" spans="18:18">
      <c r="R1067" s="137" t="e" cm="1">
        <f t="array" ref="R1067">_xlfn._xlws.FILTER(#REF!, E1067:P1067=MIN(E1067:P1067))</f>
        <v>#REF!</v>
      </c>
    </row>
    <row r="1068" spans="18:18">
      <c r="R1068" s="137" t="e" cm="1">
        <f t="array" ref="R1068">_xlfn._xlws.FILTER(#REF!, E1068:P1068=MIN(E1068:P1068))</f>
        <v>#REF!</v>
      </c>
    </row>
    <row r="1069" spans="18:18">
      <c r="R1069" s="137" t="e" cm="1">
        <f t="array" ref="R1069">_xlfn._xlws.FILTER(#REF!, E1069:P1069=MIN(E1069:P1069))</f>
        <v>#REF!</v>
      </c>
    </row>
    <row r="1070" spans="18:18">
      <c r="R1070" s="137" t="e" cm="1">
        <f t="array" ref="R1070">_xlfn._xlws.FILTER(#REF!, E1070:P1070=MIN(E1070:P1070))</f>
        <v>#REF!</v>
      </c>
    </row>
    <row r="1071" spans="18:18">
      <c r="R1071" s="137" t="e" cm="1">
        <f t="array" ref="R1071">_xlfn._xlws.FILTER(#REF!, E1071:P1071=MIN(E1071:P1071))</f>
        <v>#REF!</v>
      </c>
    </row>
    <row r="1072" spans="18:18">
      <c r="R1072" s="137" t="e" cm="1">
        <f t="array" ref="R1072">_xlfn._xlws.FILTER(#REF!, E1072:P1072=MIN(E1072:P1072))</f>
        <v>#REF!</v>
      </c>
    </row>
    <row r="1073" spans="18:18">
      <c r="R1073" s="137" t="e" cm="1">
        <f t="array" ref="R1073">_xlfn._xlws.FILTER(#REF!, E1073:P1073=MIN(E1073:P1073))</f>
        <v>#REF!</v>
      </c>
    </row>
    <row r="1074" spans="18:18">
      <c r="R1074" s="137" t="e" cm="1">
        <f t="array" ref="R1074">_xlfn._xlws.FILTER(#REF!, E1074:P1074=MIN(E1074:P1074))</f>
        <v>#REF!</v>
      </c>
    </row>
    <row r="1075" spans="18:18">
      <c r="R1075" s="137" t="e" cm="1">
        <f t="array" ref="R1075">_xlfn._xlws.FILTER(#REF!, E1075:P1075=MIN(E1075:P1075))</f>
        <v>#REF!</v>
      </c>
    </row>
    <row r="1076" spans="18:18">
      <c r="R1076" s="137" t="e" cm="1">
        <f t="array" ref="R1076">_xlfn._xlws.FILTER(#REF!, E1076:P1076=MIN(E1076:P1076))</f>
        <v>#REF!</v>
      </c>
    </row>
    <row r="1077" spans="18:18">
      <c r="R1077" s="137" t="e" cm="1">
        <f t="array" ref="R1077">_xlfn._xlws.FILTER(#REF!, E1077:P1077=MIN(E1077:P1077))</f>
        <v>#REF!</v>
      </c>
    </row>
    <row r="1078" spans="18:18">
      <c r="R1078" s="137" t="e" cm="1">
        <f t="array" ref="R1078">_xlfn._xlws.FILTER(#REF!, E1078:P1078=MIN(E1078:P1078))</f>
        <v>#REF!</v>
      </c>
    </row>
    <row r="1079" spans="18:18">
      <c r="R1079" s="137" t="e" cm="1">
        <f t="array" ref="R1079">_xlfn._xlws.FILTER(#REF!, E1079:P1079=MIN(E1079:P1079))</f>
        <v>#REF!</v>
      </c>
    </row>
    <row r="1080" spans="18:18">
      <c r="R1080" s="137" t="e" cm="1">
        <f t="array" ref="R1080">_xlfn._xlws.FILTER(#REF!, E1080:P1080=MIN(E1080:P1080))</f>
        <v>#REF!</v>
      </c>
    </row>
    <row r="1081" spans="18:18">
      <c r="R1081" s="137" t="e" cm="1">
        <f t="array" ref="R1081">_xlfn._xlws.FILTER(#REF!, E1081:P1081=MIN(E1081:P1081))</f>
        <v>#REF!</v>
      </c>
    </row>
    <row r="1082" spans="18:18">
      <c r="R1082" s="137" t="e" cm="1">
        <f t="array" ref="R1082">_xlfn._xlws.FILTER(#REF!, E1082:P1082=MIN(E1082:P1082))</f>
        <v>#REF!</v>
      </c>
    </row>
    <row r="1083" spans="18:18">
      <c r="R1083" s="137" t="e" cm="1">
        <f t="array" ref="R1083">_xlfn._xlws.FILTER(#REF!, E1083:P1083=MIN(E1083:P1083))</f>
        <v>#REF!</v>
      </c>
    </row>
    <row r="1084" spans="18:18">
      <c r="R1084" s="137" t="e" cm="1">
        <f t="array" ref="R1084">_xlfn._xlws.FILTER(#REF!, E1084:P1084=MIN(E1084:P1084))</f>
        <v>#REF!</v>
      </c>
    </row>
    <row r="1085" spans="18:18">
      <c r="R1085" s="137" t="e" cm="1">
        <f t="array" ref="R1085">_xlfn._xlws.FILTER(#REF!, E1085:P1085=MIN(E1085:P1085))</f>
        <v>#REF!</v>
      </c>
    </row>
    <row r="1086" spans="18:18">
      <c r="R1086" s="137" t="e" cm="1">
        <f t="array" ref="R1086">_xlfn._xlws.FILTER(#REF!, E1086:P1086=MIN(E1086:P1086))</f>
        <v>#REF!</v>
      </c>
    </row>
    <row r="1087" spans="18:18">
      <c r="R1087" s="137" t="e" cm="1">
        <f t="array" ref="R1087">_xlfn._xlws.FILTER(#REF!, E1087:P1087=MIN(E1087:P1087))</f>
        <v>#REF!</v>
      </c>
    </row>
    <row r="1088" spans="18:18">
      <c r="R1088" s="137" t="e" cm="1">
        <f t="array" ref="R1088">_xlfn._xlws.FILTER(#REF!, E1088:P1088=MIN(E1088:P1088))</f>
        <v>#REF!</v>
      </c>
    </row>
    <row r="1089" spans="18:18">
      <c r="R1089" s="137" t="e" cm="1">
        <f t="array" ref="R1089">_xlfn._xlws.FILTER(#REF!, E1089:P1089=MIN(E1089:P1089))</f>
        <v>#REF!</v>
      </c>
    </row>
    <row r="1090" spans="18:18">
      <c r="R1090" s="137" t="e" cm="1">
        <f t="array" ref="R1090">_xlfn._xlws.FILTER(#REF!, E1090:P1090=MIN(E1090:P1090))</f>
        <v>#REF!</v>
      </c>
    </row>
    <row r="1091" spans="18:18">
      <c r="R1091" s="137" t="e" cm="1">
        <f t="array" ref="R1091">_xlfn._xlws.FILTER(#REF!, E1091:P1091=MIN(E1091:P1091))</f>
        <v>#REF!</v>
      </c>
    </row>
    <row r="1092" spans="18:18">
      <c r="R1092" s="137" t="e" cm="1">
        <f t="array" ref="R1092">_xlfn._xlws.FILTER(#REF!, E1092:P1092=MIN(E1092:P1092))</f>
        <v>#REF!</v>
      </c>
    </row>
    <row r="1093" spans="18:18">
      <c r="R1093" s="137" t="e" cm="1">
        <f t="array" ref="R1093">_xlfn._xlws.FILTER(#REF!, E1093:P1093=MIN(E1093:P1093))</f>
        <v>#REF!</v>
      </c>
    </row>
    <row r="1094" spans="18:18">
      <c r="R1094" s="137" t="e" cm="1">
        <f t="array" ref="R1094">_xlfn._xlws.FILTER(#REF!, E1094:P1094=MIN(E1094:P1094))</f>
        <v>#REF!</v>
      </c>
    </row>
    <row r="1095" spans="18:18">
      <c r="R1095" s="137" t="e" cm="1">
        <f t="array" ref="R1095">_xlfn._xlws.FILTER(#REF!, E1095:P1095=MIN(E1095:P1095))</f>
        <v>#REF!</v>
      </c>
    </row>
    <row r="1096" spans="18:18">
      <c r="R1096" s="137" t="e" cm="1">
        <f t="array" ref="R1096">_xlfn._xlws.FILTER(#REF!, E1096:P1096=MIN(E1096:P1096))</f>
        <v>#REF!</v>
      </c>
    </row>
    <row r="1097" spans="18:18">
      <c r="R1097" s="137" t="e" cm="1">
        <f t="array" ref="R1097">_xlfn._xlws.FILTER(#REF!, E1097:P1097=MIN(E1097:P1097))</f>
        <v>#REF!</v>
      </c>
    </row>
    <row r="1098" spans="18:18">
      <c r="R1098" s="137" t="e" cm="1">
        <f t="array" ref="R1098">_xlfn._xlws.FILTER(#REF!, E1098:P1098=MIN(E1098:P1098))</f>
        <v>#REF!</v>
      </c>
    </row>
    <row r="1099" spans="18:18">
      <c r="R1099" s="137" t="e" cm="1">
        <f t="array" ref="R1099">_xlfn._xlws.FILTER(#REF!, E1099:P1099=MIN(E1099:P1099))</f>
        <v>#REF!</v>
      </c>
    </row>
    <row r="1100" spans="18:18">
      <c r="R1100" s="137" t="e" cm="1">
        <f t="array" ref="R1100">_xlfn._xlws.FILTER(#REF!, E1100:P1100=MIN(E1100:P1100))</f>
        <v>#REF!</v>
      </c>
    </row>
    <row r="1101" spans="18:18">
      <c r="R1101" s="137" t="e" cm="1">
        <f t="array" ref="R1101">_xlfn._xlws.FILTER(#REF!, E1101:P1101=MIN(E1101:P1101))</f>
        <v>#REF!</v>
      </c>
    </row>
    <row r="1102" spans="18:18">
      <c r="R1102" s="137" t="e" cm="1">
        <f t="array" ref="R1102">_xlfn._xlws.FILTER(#REF!, E1102:P1102=MIN(E1102:P1102))</f>
        <v>#REF!</v>
      </c>
    </row>
    <row r="1103" spans="18:18">
      <c r="R1103" s="137" t="e" cm="1">
        <f t="array" ref="R1103">_xlfn._xlws.FILTER(#REF!, E1103:P1103=MIN(E1103:P1103))</f>
        <v>#REF!</v>
      </c>
    </row>
    <row r="1104" spans="18:18">
      <c r="R1104" s="137" t="e" cm="1">
        <f t="array" ref="R1104">_xlfn._xlws.FILTER(#REF!, E1104:P1104=MIN(E1104:P1104))</f>
        <v>#REF!</v>
      </c>
    </row>
    <row r="1105" spans="18:18">
      <c r="R1105" s="137" t="e" cm="1">
        <f t="array" ref="R1105">_xlfn._xlws.FILTER(#REF!, E1105:P1105=MIN(E1105:P1105))</f>
        <v>#REF!</v>
      </c>
    </row>
    <row r="1106" spans="18:18">
      <c r="R1106" s="137" t="e" cm="1">
        <f t="array" ref="R1106">_xlfn._xlws.FILTER(#REF!, E1106:P1106=MIN(E1106:P1106))</f>
        <v>#REF!</v>
      </c>
    </row>
    <row r="1107" spans="18:18">
      <c r="R1107" s="137" t="e" cm="1">
        <f t="array" ref="R1107">_xlfn._xlws.FILTER(#REF!, E1107:P1107=MIN(E1107:P1107))</f>
        <v>#REF!</v>
      </c>
    </row>
    <row r="1108" spans="18:18">
      <c r="R1108" s="137" t="e" cm="1">
        <f t="array" ref="R1108">_xlfn._xlws.FILTER(#REF!, E1108:P1108=MIN(E1108:P1108))</f>
        <v>#REF!</v>
      </c>
    </row>
    <row r="1109" spans="18:18">
      <c r="R1109" s="137" t="e" cm="1">
        <f t="array" ref="R1109">_xlfn._xlws.FILTER(#REF!, E1109:P1109=MIN(E1109:P1109))</f>
        <v>#REF!</v>
      </c>
    </row>
    <row r="1110" spans="18:18">
      <c r="R1110" s="137" t="e" cm="1">
        <f t="array" ref="R1110">_xlfn._xlws.FILTER(#REF!, E1110:P1110=MIN(E1110:P1110))</f>
        <v>#REF!</v>
      </c>
    </row>
    <row r="1111" spans="18:18">
      <c r="R1111" s="137" t="e" cm="1">
        <f t="array" ref="R1111">_xlfn._xlws.FILTER(#REF!, E1111:P1111=MIN(E1111:P1111))</f>
        <v>#REF!</v>
      </c>
    </row>
    <row r="1112" spans="18:18">
      <c r="R1112" s="137" t="e" cm="1">
        <f t="array" ref="R1112">_xlfn._xlws.FILTER(#REF!, E1112:P1112=MIN(E1112:P1112))</f>
        <v>#REF!</v>
      </c>
    </row>
    <row r="1113" spans="18:18">
      <c r="R1113" s="137" t="e" cm="1">
        <f t="array" ref="R1113">_xlfn._xlws.FILTER(#REF!, E1113:P1113=MIN(E1113:P1113))</f>
        <v>#REF!</v>
      </c>
    </row>
    <row r="1114" spans="18:18">
      <c r="R1114" s="137" t="e" cm="1">
        <f t="array" ref="R1114">_xlfn._xlws.FILTER(#REF!, E1114:P1114=MIN(E1114:P1114))</f>
        <v>#REF!</v>
      </c>
    </row>
    <row r="1115" spans="18:18">
      <c r="R1115" s="137" t="e" cm="1">
        <f t="array" ref="R1115">_xlfn._xlws.FILTER(#REF!, E1115:P1115=MIN(E1115:P1115))</f>
        <v>#REF!</v>
      </c>
    </row>
    <row r="1116" spans="18:18">
      <c r="R1116" s="137" t="e" cm="1">
        <f t="array" ref="R1116">_xlfn._xlws.FILTER(#REF!, E1116:P1116=MIN(E1116:P1116))</f>
        <v>#REF!</v>
      </c>
    </row>
    <row r="1117" spans="18:18">
      <c r="R1117" s="137" t="e" cm="1">
        <f t="array" ref="R1117">_xlfn._xlws.FILTER(#REF!, E1117:P1117=MIN(E1117:P1117))</f>
        <v>#REF!</v>
      </c>
    </row>
    <row r="1118" spans="18:18">
      <c r="R1118" s="137" t="e" cm="1">
        <f t="array" ref="R1118">_xlfn._xlws.FILTER(#REF!, E1118:P1118=MIN(E1118:P1118))</f>
        <v>#REF!</v>
      </c>
    </row>
    <row r="1119" spans="18:18">
      <c r="R1119" s="137" t="e" cm="1">
        <f t="array" ref="R1119">_xlfn._xlws.FILTER(#REF!, E1119:P1119=MIN(E1119:P1119))</f>
        <v>#REF!</v>
      </c>
    </row>
    <row r="1120" spans="18:18">
      <c r="R1120" s="137" t="e" cm="1">
        <f t="array" ref="R1120">_xlfn._xlws.FILTER(#REF!, E1120:P1120=MIN(E1120:P1120))</f>
        <v>#REF!</v>
      </c>
    </row>
    <row r="1121" spans="18:18">
      <c r="R1121" s="137" t="e" cm="1">
        <f t="array" ref="R1121">_xlfn._xlws.FILTER(#REF!, E1121:P1121=MIN(E1121:P1121))</f>
        <v>#REF!</v>
      </c>
    </row>
    <row r="1122" spans="18:18">
      <c r="R1122" s="137" t="e" cm="1">
        <f t="array" ref="R1122">_xlfn._xlws.FILTER(#REF!, E1122:P1122=MIN(E1122:P1122))</f>
        <v>#REF!</v>
      </c>
    </row>
    <row r="1123" spans="18:18">
      <c r="R1123" s="137" t="e" cm="1">
        <f t="array" ref="R1123">_xlfn._xlws.FILTER(#REF!, E1123:P1123=MIN(E1123:P1123))</f>
        <v>#REF!</v>
      </c>
    </row>
    <row r="1124" spans="18:18">
      <c r="R1124" s="137" t="e" cm="1">
        <f t="array" ref="R1124">_xlfn._xlws.FILTER(#REF!, E1124:P1124=MIN(E1124:P1124))</f>
        <v>#REF!</v>
      </c>
    </row>
    <row r="1125" spans="18:18">
      <c r="R1125" s="137" t="e" cm="1">
        <f t="array" ref="R1125">_xlfn._xlws.FILTER(#REF!, E1125:P1125=MIN(E1125:P1125))</f>
        <v>#REF!</v>
      </c>
    </row>
    <row r="1126" spans="18:18">
      <c r="R1126" s="137" t="e" cm="1">
        <f t="array" ref="R1126">_xlfn._xlws.FILTER(#REF!, E1126:P1126=MIN(E1126:P1126))</f>
        <v>#REF!</v>
      </c>
    </row>
    <row r="1127" spans="18:18">
      <c r="R1127" s="137" t="e" cm="1">
        <f t="array" ref="R1127">_xlfn._xlws.FILTER(#REF!, E1127:P1127=MIN(E1127:P1127))</f>
        <v>#REF!</v>
      </c>
    </row>
    <row r="1128" spans="18:18">
      <c r="R1128" s="137" t="e" cm="1">
        <f t="array" ref="R1128">_xlfn._xlws.FILTER(#REF!, E1128:P1128=MIN(E1128:P1128))</f>
        <v>#REF!</v>
      </c>
    </row>
    <row r="1129" spans="18:18">
      <c r="R1129" s="137" t="e" cm="1">
        <f t="array" ref="R1129">_xlfn._xlws.FILTER(#REF!, E1129:P1129=MIN(E1129:P1129))</f>
        <v>#REF!</v>
      </c>
    </row>
    <row r="1130" spans="18:18">
      <c r="R1130" s="137" t="e" cm="1">
        <f t="array" ref="R1130">_xlfn._xlws.FILTER(#REF!, E1130:P1130=MIN(E1130:P1130))</f>
        <v>#REF!</v>
      </c>
    </row>
    <row r="1131" spans="18:18">
      <c r="R1131" s="137" t="e" cm="1">
        <f t="array" ref="R1131">_xlfn._xlws.FILTER(#REF!, E1131:P1131=MIN(E1131:P1131))</f>
        <v>#REF!</v>
      </c>
    </row>
    <row r="1132" spans="18:18">
      <c r="R1132" s="137" t="e" cm="1">
        <f t="array" ref="R1132">_xlfn._xlws.FILTER(#REF!, E1132:P1132=MIN(E1132:P1132))</f>
        <v>#REF!</v>
      </c>
    </row>
    <row r="1133" spans="18:18">
      <c r="R1133" s="137" t="e" cm="1">
        <f t="array" ref="R1133">_xlfn._xlws.FILTER(#REF!, E1133:P1133=MIN(E1133:P1133))</f>
        <v>#REF!</v>
      </c>
    </row>
    <row r="1134" spans="18:18">
      <c r="R1134" s="137" t="e" cm="1">
        <f t="array" ref="R1134">_xlfn._xlws.FILTER(#REF!, E1134:P1134=MIN(E1134:P1134))</f>
        <v>#REF!</v>
      </c>
    </row>
    <row r="1135" spans="18:18">
      <c r="R1135" s="137" t="e" cm="1">
        <f t="array" ref="R1135">_xlfn._xlws.FILTER(#REF!, E1135:P1135=MIN(E1135:P1135))</f>
        <v>#REF!</v>
      </c>
    </row>
    <row r="1136" spans="18:18">
      <c r="R1136" s="137" t="e" cm="1">
        <f t="array" ref="R1136">_xlfn._xlws.FILTER(#REF!, E1136:P1136=MIN(E1136:P1136))</f>
        <v>#REF!</v>
      </c>
    </row>
    <row r="1137" spans="18:18">
      <c r="R1137" s="137" t="e" cm="1">
        <f t="array" ref="R1137">_xlfn._xlws.FILTER(#REF!, E1137:P1137=MIN(E1137:P1137))</f>
        <v>#REF!</v>
      </c>
    </row>
    <row r="1138" spans="18:18">
      <c r="R1138" s="137" t="e" cm="1">
        <f t="array" ref="R1138">_xlfn._xlws.FILTER(#REF!, E1138:P1138=MIN(E1138:P1138))</f>
        <v>#REF!</v>
      </c>
    </row>
    <row r="1139" spans="18:18">
      <c r="R1139" s="137" t="e" cm="1">
        <f t="array" ref="R1139">_xlfn._xlws.FILTER(#REF!, E1139:P1139=MIN(E1139:P1139))</f>
        <v>#REF!</v>
      </c>
    </row>
    <row r="1140" spans="18:18">
      <c r="R1140" s="137" t="e" cm="1">
        <f t="array" ref="R1140">_xlfn._xlws.FILTER(#REF!, E1140:P1140=MIN(E1140:P1140))</f>
        <v>#REF!</v>
      </c>
    </row>
    <row r="1141" spans="18:18">
      <c r="R1141" s="137" t="e" cm="1">
        <f t="array" ref="R1141">_xlfn._xlws.FILTER(#REF!, E1141:P1141=MIN(E1141:P1141))</f>
        <v>#REF!</v>
      </c>
    </row>
    <row r="1142" spans="18:18">
      <c r="R1142" s="137" t="e" cm="1">
        <f t="array" ref="R1142">_xlfn._xlws.FILTER(#REF!, E1142:P1142=MIN(E1142:P1142))</f>
        <v>#REF!</v>
      </c>
    </row>
    <row r="1143" spans="18:18">
      <c r="R1143" s="137" t="e" cm="1">
        <f t="array" ref="R1143">_xlfn._xlws.FILTER(#REF!, E1143:P1143=MIN(E1143:P1143))</f>
        <v>#REF!</v>
      </c>
    </row>
    <row r="1144" spans="18:18">
      <c r="R1144" s="137" t="e" cm="1">
        <f t="array" ref="R1144">_xlfn._xlws.FILTER(#REF!, E1144:P1144=MIN(E1144:P1144))</f>
        <v>#REF!</v>
      </c>
    </row>
    <row r="1145" spans="18:18">
      <c r="R1145" s="137" t="e" cm="1">
        <f t="array" ref="R1145">_xlfn._xlws.FILTER(#REF!, E1145:P1145=MIN(E1145:P1145))</f>
        <v>#REF!</v>
      </c>
    </row>
    <row r="1146" spans="18:18">
      <c r="R1146" s="137" t="e" cm="1">
        <f t="array" ref="R1146">_xlfn._xlws.FILTER(#REF!, E1146:P1146=MIN(E1146:P1146))</f>
        <v>#REF!</v>
      </c>
    </row>
    <row r="1147" spans="18:18">
      <c r="R1147" s="137" t="e" cm="1">
        <f t="array" ref="R1147">_xlfn._xlws.FILTER(#REF!, E1147:P1147=MIN(E1147:P1147))</f>
        <v>#REF!</v>
      </c>
    </row>
    <row r="1148" spans="18:18">
      <c r="R1148" s="137" t="e" cm="1">
        <f t="array" ref="R1148">_xlfn._xlws.FILTER(#REF!, E1148:P1148=MIN(E1148:P1148))</f>
        <v>#REF!</v>
      </c>
    </row>
    <row r="1149" spans="18:18">
      <c r="R1149" s="137" t="e" cm="1">
        <f t="array" ref="R1149">_xlfn._xlws.FILTER(#REF!, E1149:P1149=MIN(E1149:P1149))</f>
        <v>#REF!</v>
      </c>
    </row>
    <row r="1150" spans="18:18">
      <c r="R1150" s="137" t="e" cm="1">
        <f t="array" ref="R1150">_xlfn._xlws.FILTER(#REF!, E1150:P1150=MIN(E1150:P1150))</f>
        <v>#REF!</v>
      </c>
    </row>
    <row r="1151" spans="18:18">
      <c r="R1151" s="137" t="e" cm="1">
        <f t="array" ref="R1151">_xlfn._xlws.FILTER(#REF!, E1151:P1151=MIN(E1151:P1151))</f>
        <v>#REF!</v>
      </c>
    </row>
    <row r="1152" spans="18:18">
      <c r="R1152" s="137" t="e" cm="1">
        <f t="array" ref="R1152">_xlfn._xlws.FILTER(#REF!, E1152:P1152=MIN(E1152:P1152))</f>
        <v>#REF!</v>
      </c>
    </row>
    <row r="1153" spans="18:18">
      <c r="R1153" s="137" t="e" cm="1">
        <f t="array" ref="R1153">_xlfn._xlws.FILTER(#REF!, E1153:P1153=MIN(E1153:P1153))</f>
        <v>#REF!</v>
      </c>
    </row>
    <row r="1154" spans="18:18">
      <c r="R1154" s="137" t="e" cm="1">
        <f t="array" ref="R1154">_xlfn._xlws.FILTER(#REF!, E1154:P1154=MIN(E1154:P1154))</f>
        <v>#REF!</v>
      </c>
    </row>
    <row r="1155" spans="18:18">
      <c r="R1155" s="137" t="e" cm="1">
        <f t="array" ref="R1155">_xlfn._xlws.FILTER(#REF!, E1155:P1155=MIN(E1155:P1155))</f>
        <v>#REF!</v>
      </c>
    </row>
    <row r="1156" spans="18:18">
      <c r="R1156" s="137" t="e" cm="1">
        <f t="array" ref="R1156">_xlfn._xlws.FILTER(#REF!, E1156:P1156=MIN(E1156:P1156))</f>
        <v>#REF!</v>
      </c>
    </row>
    <row r="1157" spans="18:18">
      <c r="R1157" s="137" t="e" cm="1">
        <f t="array" ref="R1157">_xlfn._xlws.FILTER(#REF!, E1157:P1157=MIN(E1157:P1157))</f>
        <v>#REF!</v>
      </c>
    </row>
    <row r="1158" spans="18:18">
      <c r="R1158" s="137" t="e" cm="1">
        <f t="array" ref="R1158">_xlfn._xlws.FILTER(#REF!, E1158:P1158=MIN(E1158:P1158))</f>
        <v>#REF!</v>
      </c>
    </row>
    <row r="1159" spans="18:18">
      <c r="R1159" s="137" t="e" cm="1">
        <f t="array" ref="R1159">_xlfn._xlws.FILTER(#REF!, E1159:P1159=MIN(E1159:P1159))</f>
        <v>#REF!</v>
      </c>
    </row>
    <row r="1160" spans="18:18">
      <c r="R1160" s="137" t="e" cm="1">
        <f t="array" ref="R1160">_xlfn._xlws.FILTER(#REF!, E1160:P1160=MIN(E1160:P1160))</f>
        <v>#REF!</v>
      </c>
    </row>
    <row r="1161" spans="18:18">
      <c r="R1161" s="137" t="e" cm="1">
        <f t="array" ref="R1161">_xlfn._xlws.FILTER(#REF!, E1161:P1161=MIN(E1161:P1161))</f>
        <v>#REF!</v>
      </c>
    </row>
    <row r="1162" spans="18:18">
      <c r="R1162" s="137" t="e" cm="1">
        <f t="array" ref="R1162">_xlfn._xlws.FILTER(#REF!, E1162:P1162=MIN(E1162:P1162))</f>
        <v>#REF!</v>
      </c>
    </row>
    <row r="1163" spans="18:18">
      <c r="R1163" s="137" t="e" cm="1">
        <f t="array" ref="R1163">_xlfn._xlws.FILTER(#REF!, E1163:P1163=MIN(E1163:P1163))</f>
        <v>#REF!</v>
      </c>
    </row>
    <row r="1164" spans="18:18">
      <c r="R1164" s="137" t="e" cm="1">
        <f t="array" ref="R1164">_xlfn._xlws.FILTER(#REF!, E1164:P1164=MIN(E1164:P1164))</f>
        <v>#REF!</v>
      </c>
    </row>
    <row r="1165" spans="18:18">
      <c r="R1165" s="137" t="e" cm="1">
        <f t="array" ref="R1165">_xlfn._xlws.FILTER(#REF!, E1165:P1165=MIN(E1165:P1165))</f>
        <v>#REF!</v>
      </c>
    </row>
    <row r="1166" spans="18:18">
      <c r="R1166" s="137" t="e" cm="1">
        <f t="array" ref="R1166">_xlfn._xlws.FILTER(#REF!, E1166:P1166=MIN(E1166:P1166))</f>
        <v>#REF!</v>
      </c>
    </row>
    <row r="1167" spans="18:18">
      <c r="R1167" s="137" t="e" cm="1">
        <f t="array" ref="R1167">_xlfn._xlws.FILTER(#REF!, E1167:P1167=MIN(E1167:P1167))</f>
        <v>#REF!</v>
      </c>
    </row>
    <row r="1168" spans="18:18">
      <c r="R1168" s="137" t="e" cm="1">
        <f t="array" ref="R1168">_xlfn._xlws.FILTER(#REF!, E1168:P1168=MIN(E1168:P1168))</f>
        <v>#REF!</v>
      </c>
    </row>
    <row r="1169" spans="18:18">
      <c r="R1169" s="137" t="e" cm="1">
        <f t="array" ref="R1169">_xlfn._xlws.FILTER(#REF!, E1169:P1169=MIN(E1169:P1169))</f>
        <v>#REF!</v>
      </c>
    </row>
    <row r="1170" spans="18:18">
      <c r="R1170" s="137" t="e" cm="1">
        <f t="array" ref="R1170">_xlfn._xlws.FILTER(#REF!, E1170:P1170=MIN(E1170:P1170))</f>
        <v>#REF!</v>
      </c>
    </row>
    <row r="1171" spans="18:18">
      <c r="R1171" s="137" t="e" cm="1">
        <f t="array" ref="R1171">_xlfn._xlws.FILTER(#REF!, E1171:P1171=MIN(E1171:P1171))</f>
        <v>#REF!</v>
      </c>
    </row>
    <row r="1172" spans="18:18">
      <c r="R1172" s="137" t="e" cm="1">
        <f t="array" ref="R1172">_xlfn._xlws.FILTER(#REF!, E1172:P1172=MIN(E1172:P1172))</f>
        <v>#REF!</v>
      </c>
    </row>
    <row r="1173" spans="18:18">
      <c r="R1173" s="137" t="e" cm="1">
        <f t="array" ref="R1173">_xlfn._xlws.FILTER(#REF!, E1173:P1173=MIN(E1173:P1173))</f>
        <v>#REF!</v>
      </c>
    </row>
    <row r="1174" spans="18:18">
      <c r="R1174" s="137" t="e" cm="1">
        <f t="array" ref="R1174">_xlfn._xlws.FILTER(#REF!, E1174:P1174=MIN(E1174:P1174))</f>
        <v>#REF!</v>
      </c>
    </row>
    <row r="1175" spans="18:18">
      <c r="R1175" s="137" t="e" cm="1">
        <f t="array" ref="R1175">_xlfn._xlws.FILTER(#REF!, E1175:P1175=MIN(E1175:P1175))</f>
        <v>#REF!</v>
      </c>
    </row>
    <row r="1176" spans="18:18">
      <c r="R1176" s="137" t="e" cm="1">
        <f t="array" ref="R1176">_xlfn._xlws.FILTER(#REF!, E1176:P1176=MIN(E1176:P1176))</f>
        <v>#REF!</v>
      </c>
    </row>
    <row r="1177" spans="18:18">
      <c r="R1177" s="137" t="e" cm="1">
        <f t="array" ref="R1177">_xlfn._xlws.FILTER(#REF!, E1177:P1177=MIN(E1177:P1177))</f>
        <v>#REF!</v>
      </c>
    </row>
    <row r="1178" spans="18:18">
      <c r="R1178" s="137" t="e" cm="1">
        <f t="array" ref="R1178">_xlfn._xlws.FILTER(#REF!, E1178:P1178=MIN(E1178:P1178))</f>
        <v>#REF!</v>
      </c>
    </row>
    <row r="1179" spans="18:18">
      <c r="R1179" s="137" t="e" cm="1">
        <f t="array" ref="R1179">_xlfn._xlws.FILTER(#REF!, E1179:P1179=MIN(E1179:P1179))</f>
        <v>#REF!</v>
      </c>
    </row>
    <row r="1180" spans="18:18">
      <c r="R1180" s="137" t="e" cm="1">
        <f t="array" ref="R1180">_xlfn._xlws.FILTER(#REF!, E1180:P1180=MIN(E1180:P1180))</f>
        <v>#REF!</v>
      </c>
    </row>
    <row r="1181" spans="18:18">
      <c r="R1181" s="137" t="e" cm="1">
        <f t="array" ref="R1181">_xlfn._xlws.FILTER(#REF!, E1181:P1181=MIN(E1181:P1181))</f>
        <v>#REF!</v>
      </c>
    </row>
    <row r="1182" spans="18:18">
      <c r="R1182" s="137" t="e" cm="1">
        <f t="array" ref="R1182">_xlfn._xlws.FILTER(#REF!, E1182:P1182=MIN(E1182:P1182))</f>
        <v>#REF!</v>
      </c>
    </row>
    <row r="1183" spans="18:18">
      <c r="R1183" s="137" t="e" cm="1">
        <f t="array" ref="R1183">_xlfn._xlws.FILTER(#REF!, E1183:P1183=MIN(E1183:P1183))</f>
        <v>#REF!</v>
      </c>
    </row>
    <row r="1184" spans="18:18">
      <c r="R1184" s="137" t="e" cm="1">
        <f t="array" ref="R1184">_xlfn._xlws.FILTER(#REF!, E1184:P1184=MIN(E1184:P1184))</f>
        <v>#REF!</v>
      </c>
    </row>
    <row r="1185" spans="18:18">
      <c r="R1185" s="137" t="e" cm="1">
        <f t="array" ref="R1185">_xlfn._xlws.FILTER(#REF!, E1185:P1185=MIN(E1185:P1185))</f>
        <v>#REF!</v>
      </c>
    </row>
    <row r="1186" spans="18:18">
      <c r="R1186" s="137" t="e" cm="1">
        <f t="array" ref="R1186">_xlfn._xlws.FILTER(#REF!, E1186:P1186=MIN(E1186:P1186))</f>
        <v>#REF!</v>
      </c>
    </row>
    <row r="1187" spans="18:18">
      <c r="R1187" s="137" t="e" cm="1">
        <f t="array" ref="R1187">_xlfn._xlws.FILTER(#REF!, E1187:P1187=MIN(E1187:P1187))</f>
        <v>#REF!</v>
      </c>
    </row>
    <row r="1188" spans="18:18">
      <c r="R1188" s="137" t="e" cm="1">
        <f t="array" ref="R1188">_xlfn._xlws.FILTER(#REF!, E1188:P1188=MIN(E1188:P1188))</f>
        <v>#REF!</v>
      </c>
    </row>
    <row r="1189" spans="18:18">
      <c r="R1189" s="137" t="e" cm="1">
        <f t="array" ref="R1189">_xlfn._xlws.FILTER(#REF!, E1189:P1189=MIN(E1189:P1189))</f>
        <v>#REF!</v>
      </c>
    </row>
    <row r="1190" spans="18:18">
      <c r="R1190" s="137" t="e" cm="1">
        <f t="array" ref="R1190">_xlfn._xlws.FILTER(#REF!, E1190:P1190=MIN(E1190:P1190))</f>
        <v>#REF!</v>
      </c>
    </row>
    <row r="1191" spans="18:18">
      <c r="R1191" s="137" t="e" cm="1">
        <f t="array" ref="R1191">_xlfn._xlws.FILTER(#REF!, E1191:P1191=MIN(E1191:P1191))</f>
        <v>#REF!</v>
      </c>
    </row>
    <row r="1192" spans="18:18">
      <c r="R1192" s="137" t="e" cm="1">
        <f t="array" ref="R1192">_xlfn._xlws.FILTER(#REF!, E1192:P1192=MIN(E1192:P1192))</f>
        <v>#REF!</v>
      </c>
    </row>
    <row r="1193" spans="18:18">
      <c r="R1193" s="137" t="e" cm="1">
        <f t="array" ref="R1193">_xlfn._xlws.FILTER(#REF!, E1193:P1193=MIN(E1193:P1193))</f>
        <v>#REF!</v>
      </c>
    </row>
    <row r="1194" spans="18:18">
      <c r="R1194" s="137" t="e" cm="1">
        <f t="array" ref="R1194">_xlfn._xlws.FILTER(#REF!, E1194:P1194=MIN(E1194:P1194))</f>
        <v>#REF!</v>
      </c>
    </row>
    <row r="1195" spans="18:18">
      <c r="R1195" s="137" t="e" cm="1">
        <f t="array" ref="R1195">_xlfn._xlws.FILTER(#REF!, E1195:P1195=MIN(E1195:P1195))</f>
        <v>#REF!</v>
      </c>
    </row>
    <row r="1196" spans="18:18">
      <c r="R1196" s="137" t="e" cm="1">
        <f t="array" ref="R1196">_xlfn._xlws.FILTER(#REF!, E1196:P1196=MIN(E1196:P1196))</f>
        <v>#REF!</v>
      </c>
    </row>
    <row r="1197" spans="18:18">
      <c r="R1197" s="137" t="e" cm="1">
        <f t="array" ref="R1197">_xlfn._xlws.FILTER(#REF!, E1197:P1197=MIN(E1197:P1197))</f>
        <v>#REF!</v>
      </c>
    </row>
    <row r="1198" spans="18:18">
      <c r="R1198" s="137" t="e" cm="1">
        <f t="array" ref="R1198">_xlfn._xlws.FILTER(#REF!, E1198:P1198=MIN(E1198:P1198))</f>
        <v>#REF!</v>
      </c>
    </row>
    <row r="1199" spans="18:18">
      <c r="R1199" s="137" t="e" cm="1">
        <f t="array" ref="R1199">_xlfn._xlws.FILTER(#REF!, E1199:P1199=MIN(E1199:P1199))</f>
        <v>#REF!</v>
      </c>
    </row>
    <row r="1200" spans="18:18">
      <c r="R1200" s="137" t="e" cm="1">
        <f t="array" ref="R1200">_xlfn._xlws.FILTER(#REF!, E1200:P1200=MIN(E1200:P1200))</f>
        <v>#REF!</v>
      </c>
    </row>
    <row r="1201" spans="18:18">
      <c r="R1201" s="137" t="e" cm="1">
        <f t="array" ref="R1201">_xlfn._xlws.FILTER(#REF!, E1201:P1201=MIN(E1201:P1201))</f>
        <v>#REF!</v>
      </c>
    </row>
    <row r="1202" spans="18:18">
      <c r="R1202" s="137" t="e" cm="1">
        <f t="array" ref="R1202">_xlfn._xlws.FILTER(#REF!, E1202:P1202=MIN(E1202:P1202))</f>
        <v>#REF!</v>
      </c>
    </row>
    <row r="1203" spans="18:18">
      <c r="R1203" s="137" t="e" cm="1">
        <f t="array" ref="R1203">_xlfn._xlws.FILTER(#REF!, E1203:P1203=MIN(E1203:P1203))</f>
        <v>#REF!</v>
      </c>
    </row>
    <row r="1204" spans="18:18">
      <c r="R1204" s="137" t="e" cm="1">
        <f t="array" ref="R1204">_xlfn._xlws.FILTER(#REF!, E1204:P1204=MIN(E1204:P1204))</f>
        <v>#REF!</v>
      </c>
    </row>
    <row r="1205" spans="18:18">
      <c r="R1205" s="137" t="e" cm="1">
        <f t="array" ref="R1205">_xlfn._xlws.FILTER(#REF!, E1205:P1205=MIN(E1205:P1205))</f>
        <v>#REF!</v>
      </c>
    </row>
    <row r="1206" spans="18:18">
      <c r="R1206" s="137" t="e" cm="1">
        <f t="array" ref="R1206">_xlfn._xlws.FILTER(#REF!, E1206:P1206=MIN(E1206:P1206))</f>
        <v>#REF!</v>
      </c>
    </row>
    <row r="1207" spans="18:18">
      <c r="R1207" s="137" t="e" cm="1">
        <f t="array" ref="R1207">_xlfn._xlws.FILTER(#REF!, E1207:P1207=MIN(E1207:P1207))</f>
        <v>#REF!</v>
      </c>
    </row>
    <row r="1208" spans="18:18">
      <c r="R1208" s="137" t="e" cm="1">
        <f t="array" ref="R1208">_xlfn._xlws.FILTER(#REF!, E1208:P1208=MIN(E1208:P1208))</f>
        <v>#REF!</v>
      </c>
    </row>
    <row r="1209" spans="18:18">
      <c r="R1209" s="137" t="e" cm="1">
        <f t="array" ref="R1209">_xlfn._xlws.FILTER(#REF!, E1209:P1209=MIN(E1209:P1209))</f>
        <v>#REF!</v>
      </c>
    </row>
    <row r="1210" spans="18:18">
      <c r="R1210" s="137" t="e" cm="1">
        <f t="array" ref="R1210">_xlfn._xlws.FILTER(#REF!, E1210:P1210=MIN(E1210:P1210))</f>
        <v>#REF!</v>
      </c>
    </row>
    <row r="1211" spans="18:18">
      <c r="R1211" s="137" t="e" cm="1">
        <f t="array" ref="R1211">_xlfn._xlws.FILTER(#REF!, E1211:P1211=MIN(E1211:P1211))</f>
        <v>#REF!</v>
      </c>
    </row>
    <row r="1212" spans="18:18">
      <c r="R1212" s="137" t="e" cm="1">
        <f t="array" ref="R1212">_xlfn._xlws.FILTER(#REF!, E1212:P1212=MIN(E1212:P1212))</f>
        <v>#REF!</v>
      </c>
    </row>
    <row r="1213" spans="18:18">
      <c r="R1213" s="137" t="e" cm="1">
        <f t="array" ref="R1213">_xlfn._xlws.FILTER(#REF!, E1213:P1213=MIN(E1213:P1213))</f>
        <v>#REF!</v>
      </c>
    </row>
    <row r="1214" spans="18:18">
      <c r="R1214" s="137" t="e" cm="1">
        <f t="array" ref="R1214">_xlfn._xlws.FILTER(#REF!, E1214:P1214=MIN(E1214:P1214))</f>
        <v>#REF!</v>
      </c>
    </row>
    <row r="1215" spans="18:18">
      <c r="R1215" s="137" t="e" cm="1">
        <f t="array" ref="R1215">_xlfn._xlws.FILTER(#REF!, E1215:P1215=MIN(E1215:P1215))</f>
        <v>#REF!</v>
      </c>
    </row>
    <row r="1216" spans="18:18">
      <c r="R1216" s="137" t="e" cm="1">
        <f t="array" ref="R1216">_xlfn._xlws.FILTER(#REF!, E1216:P1216=MIN(E1216:P1216))</f>
        <v>#REF!</v>
      </c>
    </row>
    <row r="1217" spans="18:18">
      <c r="R1217" s="137" t="e" cm="1">
        <f t="array" ref="R1217">_xlfn._xlws.FILTER(#REF!, E1217:P1217=MIN(E1217:P1217))</f>
        <v>#REF!</v>
      </c>
    </row>
    <row r="1218" spans="18:18">
      <c r="R1218" s="137" t="e" cm="1">
        <f t="array" ref="R1218">_xlfn._xlws.FILTER(#REF!, E1218:P1218=MIN(E1218:P1218))</f>
        <v>#REF!</v>
      </c>
    </row>
    <row r="1219" spans="18:18">
      <c r="R1219" s="137" t="e" cm="1">
        <f t="array" ref="R1219">_xlfn._xlws.FILTER(#REF!, E1219:P1219=MIN(E1219:P1219))</f>
        <v>#REF!</v>
      </c>
    </row>
    <row r="1220" spans="18:18">
      <c r="R1220" s="137" t="e" cm="1">
        <f t="array" ref="R1220">_xlfn._xlws.FILTER(#REF!, E1220:P1220=MIN(E1220:P1220))</f>
        <v>#REF!</v>
      </c>
    </row>
    <row r="1221" spans="18:18">
      <c r="R1221" s="137" t="e" cm="1">
        <f t="array" ref="R1221">_xlfn._xlws.FILTER(#REF!, E1221:P1221=MIN(E1221:P1221))</f>
        <v>#REF!</v>
      </c>
    </row>
    <row r="1222" spans="18:18">
      <c r="R1222" s="137" t="e" cm="1">
        <f t="array" ref="R1222">_xlfn._xlws.FILTER(#REF!, E1222:P1222=MIN(E1222:P1222))</f>
        <v>#REF!</v>
      </c>
    </row>
    <row r="1223" spans="18:18">
      <c r="R1223" s="137" t="e" cm="1">
        <f t="array" ref="R1223">_xlfn._xlws.FILTER(#REF!, E1223:P1223=MIN(E1223:P1223))</f>
        <v>#REF!</v>
      </c>
    </row>
    <row r="1224" spans="18:18">
      <c r="R1224" s="137" t="e" cm="1">
        <f t="array" ref="R1224">_xlfn._xlws.FILTER(#REF!, E1224:P1224=MIN(E1224:P1224))</f>
        <v>#REF!</v>
      </c>
    </row>
    <row r="1225" spans="18:18">
      <c r="R1225" s="137" t="e" cm="1">
        <f t="array" ref="R1225">_xlfn._xlws.FILTER(#REF!, E1225:P1225=MIN(E1225:P1225))</f>
        <v>#REF!</v>
      </c>
    </row>
    <row r="1226" spans="18:18">
      <c r="R1226" s="137" t="e" cm="1">
        <f t="array" ref="R1226">_xlfn._xlws.FILTER(#REF!, E1226:P1226=MIN(E1226:P1226))</f>
        <v>#REF!</v>
      </c>
    </row>
    <row r="1227" spans="18:18">
      <c r="R1227" s="137" t="e" cm="1">
        <f t="array" ref="R1227">_xlfn._xlws.FILTER(#REF!, E1227:P1227=MIN(E1227:P1227))</f>
        <v>#REF!</v>
      </c>
    </row>
    <row r="1228" spans="18:18">
      <c r="R1228" s="137" t="e" cm="1">
        <f t="array" ref="R1228">_xlfn._xlws.FILTER(#REF!, E1228:P1228=MIN(E1228:P1228))</f>
        <v>#REF!</v>
      </c>
    </row>
    <row r="1229" spans="18:18">
      <c r="R1229" s="137" t="e" cm="1">
        <f t="array" ref="R1229">_xlfn._xlws.FILTER(#REF!, E1229:P1229=MIN(E1229:P1229))</f>
        <v>#REF!</v>
      </c>
    </row>
    <row r="1230" spans="18:18">
      <c r="R1230" s="137" t="e" cm="1">
        <f t="array" ref="R1230">_xlfn._xlws.FILTER(#REF!, E1230:P1230=MIN(E1230:P1230))</f>
        <v>#REF!</v>
      </c>
    </row>
    <row r="1231" spans="18:18">
      <c r="R1231" s="137" t="e" cm="1">
        <f t="array" ref="R1231">_xlfn._xlws.FILTER(#REF!, E1231:P1231=MIN(E1231:P1231))</f>
        <v>#REF!</v>
      </c>
    </row>
    <row r="1232" spans="18:18">
      <c r="R1232" s="137" t="e" cm="1">
        <f t="array" ref="R1232">_xlfn._xlws.FILTER(#REF!, E1232:P1232=MIN(E1232:P1232))</f>
        <v>#REF!</v>
      </c>
    </row>
    <row r="1233" spans="18:18">
      <c r="R1233" s="137" t="e" cm="1">
        <f t="array" ref="R1233">_xlfn._xlws.FILTER(#REF!, E1233:P1233=MIN(E1233:P1233))</f>
        <v>#REF!</v>
      </c>
    </row>
    <row r="1234" spans="18:18">
      <c r="R1234" s="137" t="e" cm="1">
        <f t="array" ref="R1234">_xlfn._xlws.FILTER(#REF!, E1234:P1234=MIN(E1234:P1234))</f>
        <v>#REF!</v>
      </c>
    </row>
    <row r="1235" spans="18:18">
      <c r="R1235" s="137" t="e" cm="1">
        <f t="array" ref="R1235">_xlfn._xlws.FILTER(#REF!, E1235:P1235=MIN(E1235:P1235))</f>
        <v>#REF!</v>
      </c>
    </row>
    <row r="1236" spans="18:18">
      <c r="R1236" s="137" t="e" cm="1">
        <f t="array" ref="R1236">_xlfn._xlws.FILTER(#REF!, E1236:P1236=MIN(E1236:P1236))</f>
        <v>#REF!</v>
      </c>
    </row>
    <row r="1237" spans="18:18">
      <c r="R1237" s="137" t="e" cm="1">
        <f t="array" ref="R1237">_xlfn._xlws.FILTER(#REF!, E1237:P1237=MIN(E1237:P1237))</f>
        <v>#REF!</v>
      </c>
    </row>
    <row r="1238" spans="18:18">
      <c r="R1238" s="137" t="e" cm="1">
        <f t="array" ref="R1238">_xlfn._xlws.FILTER(#REF!, E1238:P1238=MIN(E1238:P1238))</f>
        <v>#REF!</v>
      </c>
    </row>
    <row r="1239" spans="18:18">
      <c r="R1239" s="137" t="e" cm="1">
        <f t="array" ref="R1239">_xlfn._xlws.FILTER(#REF!, E1239:P1239=MIN(E1239:P1239))</f>
        <v>#REF!</v>
      </c>
    </row>
    <row r="1240" spans="18:18">
      <c r="R1240" s="137" t="e" cm="1">
        <f t="array" ref="R1240">_xlfn._xlws.FILTER(#REF!, E1240:P1240=MIN(E1240:P1240))</f>
        <v>#REF!</v>
      </c>
    </row>
    <row r="1241" spans="18:18">
      <c r="R1241" s="137" t="e" cm="1">
        <f t="array" ref="R1241">_xlfn._xlws.FILTER(#REF!, E1241:P1241=MIN(E1241:P1241))</f>
        <v>#REF!</v>
      </c>
    </row>
    <row r="1242" spans="18:18">
      <c r="R1242" s="137" t="e" cm="1">
        <f t="array" ref="R1242">_xlfn._xlws.FILTER(#REF!, E1242:P1242=MIN(E1242:P1242))</f>
        <v>#REF!</v>
      </c>
    </row>
    <row r="1243" spans="18:18">
      <c r="R1243" s="137" t="e" cm="1">
        <f t="array" ref="R1243">_xlfn._xlws.FILTER(#REF!, E1243:P1243=MIN(E1243:P1243))</f>
        <v>#REF!</v>
      </c>
    </row>
    <row r="1244" spans="18:18">
      <c r="R1244" s="137" t="e" cm="1">
        <f t="array" ref="R1244">_xlfn._xlws.FILTER(#REF!, E1244:P1244=MIN(E1244:P1244))</f>
        <v>#REF!</v>
      </c>
    </row>
    <row r="1245" spans="18:18">
      <c r="R1245" s="137" t="e" cm="1">
        <f t="array" ref="R1245">_xlfn._xlws.FILTER(#REF!, E1245:P1245=MIN(E1245:P1245))</f>
        <v>#REF!</v>
      </c>
    </row>
    <row r="1246" spans="18:18">
      <c r="R1246" s="137" t="e" cm="1">
        <f t="array" ref="R1246">_xlfn._xlws.FILTER(#REF!, E1246:P1246=MIN(E1246:P1246))</f>
        <v>#REF!</v>
      </c>
    </row>
    <row r="1247" spans="18:18">
      <c r="R1247" s="137" t="e" cm="1">
        <f t="array" ref="R1247">_xlfn._xlws.FILTER(#REF!, E1247:P1247=MIN(E1247:P1247))</f>
        <v>#REF!</v>
      </c>
    </row>
    <row r="1248" spans="18:18">
      <c r="R1248" s="137" t="e" cm="1">
        <f t="array" ref="R1248">_xlfn._xlws.FILTER(#REF!, E1248:P1248=MIN(E1248:P1248))</f>
        <v>#REF!</v>
      </c>
    </row>
    <row r="1249" spans="18:18">
      <c r="R1249" s="137" t="e" cm="1">
        <f t="array" ref="R1249">_xlfn._xlws.FILTER(#REF!, E1249:P1249=MIN(E1249:P1249))</f>
        <v>#REF!</v>
      </c>
    </row>
    <row r="1250" spans="18:18">
      <c r="R1250" s="137" t="e" cm="1">
        <f t="array" ref="R1250">_xlfn._xlws.FILTER(#REF!, E1250:P1250=MIN(E1250:P1250))</f>
        <v>#REF!</v>
      </c>
    </row>
    <row r="1251" spans="18:18">
      <c r="R1251" s="137" t="e" cm="1">
        <f t="array" ref="R1251">_xlfn._xlws.FILTER(#REF!, E1251:P1251=MIN(E1251:P1251))</f>
        <v>#REF!</v>
      </c>
    </row>
    <row r="1252" spans="18:18">
      <c r="R1252" s="137" t="e" cm="1">
        <f t="array" ref="R1252">_xlfn._xlws.FILTER(#REF!, E1252:P1252=MIN(E1252:P1252))</f>
        <v>#REF!</v>
      </c>
    </row>
    <row r="1253" spans="18:18">
      <c r="R1253" s="137" t="e" cm="1">
        <f t="array" ref="R1253">_xlfn._xlws.FILTER(#REF!, E1253:P1253=MIN(E1253:P1253))</f>
        <v>#REF!</v>
      </c>
    </row>
    <row r="1254" spans="18:18">
      <c r="R1254" s="137" t="e" cm="1">
        <f t="array" ref="R1254">_xlfn._xlws.FILTER(#REF!, E1254:P1254=MIN(E1254:P1254))</f>
        <v>#REF!</v>
      </c>
    </row>
    <row r="1255" spans="18:18">
      <c r="R1255" s="137" t="e" cm="1">
        <f t="array" ref="R1255">_xlfn._xlws.FILTER(#REF!, E1255:P1255=MIN(E1255:P1255))</f>
        <v>#REF!</v>
      </c>
    </row>
    <row r="1256" spans="18:18">
      <c r="R1256" s="137" t="e" cm="1">
        <f t="array" ref="R1256">_xlfn._xlws.FILTER(#REF!, E1256:P1256=MIN(E1256:P1256))</f>
        <v>#REF!</v>
      </c>
    </row>
    <row r="1257" spans="18:18">
      <c r="R1257" s="137" t="e" cm="1">
        <f t="array" ref="R1257">_xlfn._xlws.FILTER(#REF!, E1257:P1257=MIN(E1257:P1257))</f>
        <v>#REF!</v>
      </c>
    </row>
    <row r="1258" spans="18:18">
      <c r="R1258" s="137" t="e" cm="1">
        <f t="array" ref="R1258">_xlfn._xlws.FILTER(#REF!, E1258:P1258=MIN(E1258:P1258))</f>
        <v>#REF!</v>
      </c>
    </row>
    <row r="1259" spans="18:18">
      <c r="R1259" s="137" t="e" cm="1">
        <f t="array" ref="R1259">_xlfn._xlws.FILTER(#REF!, E1259:P1259=MIN(E1259:P1259))</f>
        <v>#REF!</v>
      </c>
    </row>
    <row r="1260" spans="18:18">
      <c r="R1260" s="137" t="e" cm="1">
        <f t="array" ref="R1260">_xlfn._xlws.FILTER(#REF!, E1260:P1260=MIN(E1260:P1260))</f>
        <v>#REF!</v>
      </c>
    </row>
    <row r="1261" spans="18:18">
      <c r="R1261" s="137" t="e" cm="1">
        <f t="array" ref="R1261">_xlfn._xlws.FILTER(#REF!, E1261:P1261=MIN(E1261:P1261))</f>
        <v>#REF!</v>
      </c>
    </row>
    <row r="1262" spans="18:18">
      <c r="R1262" s="137" t="e" cm="1">
        <f t="array" ref="R1262">_xlfn._xlws.FILTER(#REF!, E1262:P1262=MIN(E1262:P1262))</f>
        <v>#REF!</v>
      </c>
    </row>
    <row r="1263" spans="18:18">
      <c r="R1263" s="137" t="e" cm="1">
        <f t="array" ref="R1263">_xlfn._xlws.FILTER(#REF!, E1263:P1263=MIN(E1263:P1263))</f>
        <v>#REF!</v>
      </c>
    </row>
    <row r="1264" spans="18:18">
      <c r="R1264" s="137" t="e" cm="1">
        <f t="array" ref="R1264">_xlfn._xlws.FILTER(#REF!, E1264:P1264=MIN(E1264:P1264))</f>
        <v>#REF!</v>
      </c>
    </row>
    <row r="1265" spans="18:18">
      <c r="R1265" s="137" t="e" cm="1">
        <f t="array" ref="R1265">_xlfn._xlws.FILTER(#REF!, E1265:P1265=MIN(E1265:P1265))</f>
        <v>#REF!</v>
      </c>
    </row>
    <row r="1266" spans="18:18">
      <c r="R1266" s="137" t="e" cm="1">
        <f t="array" ref="R1266">_xlfn._xlws.FILTER(#REF!, E1266:P1266=MIN(E1266:P1266))</f>
        <v>#REF!</v>
      </c>
    </row>
    <row r="1267" spans="18:18">
      <c r="R1267" s="137" t="e" cm="1">
        <f t="array" ref="R1267">_xlfn._xlws.FILTER(#REF!, E1267:P1267=MIN(E1267:P1267))</f>
        <v>#REF!</v>
      </c>
    </row>
    <row r="1268" spans="18:18">
      <c r="R1268" s="137" t="e" cm="1">
        <f t="array" ref="R1268">_xlfn._xlws.FILTER(#REF!, E1268:P1268=MIN(E1268:P1268))</f>
        <v>#REF!</v>
      </c>
    </row>
    <row r="1269" spans="18:18">
      <c r="R1269" s="137" t="e" cm="1">
        <f t="array" ref="R1269">_xlfn._xlws.FILTER(#REF!, E1269:P1269=MIN(E1269:P1269))</f>
        <v>#REF!</v>
      </c>
    </row>
    <row r="1270" spans="18:18">
      <c r="R1270" s="137" t="e" cm="1">
        <f t="array" ref="R1270">_xlfn._xlws.FILTER(#REF!, E1270:P1270=MIN(E1270:P1270))</f>
        <v>#REF!</v>
      </c>
    </row>
    <row r="1271" spans="18:18">
      <c r="R1271" s="137" t="e" cm="1">
        <f t="array" ref="R1271">_xlfn._xlws.FILTER(#REF!, E1271:P1271=MIN(E1271:P1271))</f>
        <v>#REF!</v>
      </c>
    </row>
    <row r="1272" spans="18:18">
      <c r="R1272" s="137" t="e" cm="1">
        <f t="array" ref="R1272">_xlfn._xlws.FILTER(#REF!, E1272:P1272=MIN(E1272:P1272))</f>
        <v>#REF!</v>
      </c>
    </row>
    <row r="1273" spans="18:18">
      <c r="R1273" s="137" t="e" cm="1">
        <f t="array" ref="R1273">_xlfn._xlws.FILTER(#REF!, E1273:P1273=MIN(E1273:P1273))</f>
        <v>#REF!</v>
      </c>
    </row>
    <row r="1274" spans="18:18">
      <c r="R1274" s="137" t="e" cm="1">
        <f t="array" ref="R1274">_xlfn._xlws.FILTER(#REF!, E1274:P1274=MIN(E1274:P1274))</f>
        <v>#REF!</v>
      </c>
    </row>
    <row r="1275" spans="18:18">
      <c r="R1275" s="137" t="e" cm="1">
        <f t="array" ref="R1275">_xlfn._xlws.FILTER(#REF!, E1275:P1275=MIN(E1275:P1275))</f>
        <v>#REF!</v>
      </c>
    </row>
    <row r="1276" spans="18:18">
      <c r="R1276" s="137" t="e" cm="1">
        <f t="array" ref="R1276">_xlfn._xlws.FILTER(#REF!, E1276:P1276=MIN(E1276:P1276))</f>
        <v>#REF!</v>
      </c>
    </row>
    <row r="1277" spans="18:18">
      <c r="R1277" s="137" t="e" cm="1">
        <f t="array" ref="R1277">_xlfn._xlws.FILTER(#REF!, E1277:P1277=MIN(E1277:P1277))</f>
        <v>#REF!</v>
      </c>
    </row>
    <row r="1278" spans="18:18">
      <c r="R1278" s="137" t="e" cm="1">
        <f t="array" ref="R1278">_xlfn._xlws.FILTER(#REF!, E1278:P1278=MIN(E1278:P1278))</f>
        <v>#REF!</v>
      </c>
    </row>
    <row r="1279" spans="18:18">
      <c r="R1279" s="137" t="e" cm="1">
        <f t="array" ref="R1279">_xlfn._xlws.FILTER(#REF!, E1279:P1279=MIN(E1279:P1279))</f>
        <v>#REF!</v>
      </c>
    </row>
    <row r="1280" spans="18:18">
      <c r="R1280" s="137" t="e" cm="1">
        <f t="array" ref="R1280">_xlfn._xlws.FILTER(#REF!, E1280:P1280=MIN(E1280:P1280))</f>
        <v>#REF!</v>
      </c>
    </row>
    <row r="1281" spans="18:18">
      <c r="R1281" s="137" t="e" cm="1">
        <f t="array" ref="R1281">_xlfn._xlws.FILTER(#REF!, E1281:P1281=MIN(E1281:P1281))</f>
        <v>#REF!</v>
      </c>
    </row>
    <row r="1282" spans="18:18">
      <c r="R1282" s="137" t="e" cm="1">
        <f t="array" ref="R1282">_xlfn._xlws.FILTER(#REF!, E1282:P1282=MIN(E1282:P1282))</f>
        <v>#REF!</v>
      </c>
    </row>
    <row r="1283" spans="18:18">
      <c r="R1283" s="137" t="e" cm="1">
        <f t="array" ref="R1283">_xlfn._xlws.FILTER(#REF!, E1283:P1283=MIN(E1283:P1283))</f>
        <v>#REF!</v>
      </c>
    </row>
    <row r="1284" spans="18:18">
      <c r="R1284" s="137" t="e" cm="1">
        <f t="array" ref="R1284">_xlfn._xlws.FILTER(#REF!, E1284:P1284=MIN(E1284:P1284))</f>
        <v>#REF!</v>
      </c>
    </row>
    <row r="1285" spans="18:18">
      <c r="R1285" s="137" t="e" cm="1">
        <f t="array" ref="R1285">_xlfn._xlws.FILTER(#REF!, E1285:P1285=MIN(E1285:P1285))</f>
        <v>#REF!</v>
      </c>
    </row>
    <row r="1286" spans="18:18">
      <c r="R1286" s="137" t="e" cm="1">
        <f t="array" ref="R1286">_xlfn._xlws.FILTER(#REF!, E1286:P1286=MIN(E1286:P1286))</f>
        <v>#REF!</v>
      </c>
    </row>
    <row r="1287" spans="18:18">
      <c r="R1287" s="137" t="e" cm="1">
        <f t="array" ref="R1287">_xlfn._xlws.FILTER(#REF!, E1287:P1287=MIN(E1287:P1287))</f>
        <v>#REF!</v>
      </c>
    </row>
    <row r="1288" spans="18:18">
      <c r="R1288" s="137" t="e" cm="1">
        <f t="array" ref="R1288">_xlfn._xlws.FILTER(#REF!, E1288:P1288=MIN(E1288:P1288))</f>
        <v>#REF!</v>
      </c>
    </row>
    <row r="1289" spans="18:18">
      <c r="R1289" s="137" t="e" cm="1">
        <f t="array" ref="R1289">_xlfn._xlws.FILTER(#REF!, E1289:P1289=MIN(E1289:P1289))</f>
        <v>#REF!</v>
      </c>
    </row>
    <row r="1290" spans="18:18">
      <c r="R1290" s="137" t="e" cm="1">
        <f t="array" ref="R1290">_xlfn._xlws.FILTER(#REF!, E1290:P1290=MIN(E1290:P1290))</f>
        <v>#REF!</v>
      </c>
    </row>
    <row r="1291" spans="18:18">
      <c r="R1291" s="137" t="e" cm="1">
        <f t="array" ref="R1291">_xlfn._xlws.FILTER(#REF!, E1291:P1291=MIN(E1291:P1291))</f>
        <v>#REF!</v>
      </c>
    </row>
    <row r="1292" spans="18:18">
      <c r="R1292" s="137" t="e" cm="1">
        <f t="array" ref="R1292">_xlfn._xlws.FILTER(#REF!, E1292:P1292=MIN(E1292:P1292))</f>
        <v>#REF!</v>
      </c>
    </row>
    <row r="1293" spans="18:18">
      <c r="R1293" s="137" t="e" cm="1">
        <f t="array" ref="R1293">_xlfn._xlws.FILTER(#REF!, E1293:P1293=MIN(E1293:P1293))</f>
        <v>#REF!</v>
      </c>
    </row>
    <row r="1294" spans="18:18">
      <c r="R1294" s="137" t="e" cm="1">
        <f t="array" ref="R1294">_xlfn._xlws.FILTER(#REF!, E1294:P1294=MIN(E1294:P1294))</f>
        <v>#REF!</v>
      </c>
    </row>
    <row r="1295" spans="18:18">
      <c r="R1295" s="137" t="e" cm="1">
        <f t="array" ref="R1295">_xlfn._xlws.FILTER(#REF!, E1295:P1295=MIN(E1295:P1295))</f>
        <v>#REF!</v>
      </c>
    </row>
    <row r="1296" spans="18:18">
      <c r="R1296" s="137" t="e" cm="1">
        <f t="array" ref="R1296">_xlfn._xlws.FILTER(#REF!, E1296:P1296=MIN(E1296:P1296))</f>
        <v>#REF!</v>
      </c>
    </row>
    <row r="1297" spans="18:18">
      <c r="R1297" s="137" t="e" cm="1">
        <f t="array" ref="R1297">_xlfn._xlws.FILTER(#REF!, E1297:P1297=MIN(E1297:P1297))</f>
        <v>#REF!</v>
      </c>
    </row>
    <row r="1298" spans="18:18">
      <c r="R1298" s="137" t="e" cm="1">
        <f t="array" ref="R1298">_xlfn._xlws.FILTER(#REF!, E1298:P1298=MIN(E1298:P1298))</f>
        <v>#REF!</v>
      </c>
    </row>
    <row r="1299" spans="18:18">
      <c r="R1299" s="137" t="e" cm="1">
        <f t="array" ref="R1299">_xlfn._xlws.FILTER(#REF!, E1299:P1299=MIN(E1299:P1299))</f>
        <v>#REF!</v>
      </c>
    </row>
    <row r="1300" spans="18:18">
      <c r="R1300" s="137" t="e" cm="1">
        <f t="array" ref="R1300">_xlfn._xlws.FILTER(#REF!, E1300:P1300=MIN(E1300:P1300))</f>
        <v>#REF!</v>
      </c>
    </row>
    <row r="1301" spans="18:18">
      <c r="R1301" s="137" t="e" cm="1">
        <f t="array" ref="R1301">_xlfn._xlws.FILTER(#REF!, E1301:P1301=MIN(E1301:P1301))</f>
        <v>#REF!</v>
      </c>
    </row>
    <row r="1302" spans="18:18">
      <c r="R1302" s="137" t="e" cm="1">
        <f t="array" ref="R1302">_xlfn._xlws.FILTER(#REF!, E1302:P1302=MIN(E1302:P1302))</f>
        <v>#REF!</v>
      </c>
    </row>
    <row r="1303" spans="18:18">
      <c r="R1303" s="137" t="e" cm="1">
        <f t="array" ref="R1303">_xlfn._xlws.FILTER(#REF!, E1303:P1303=MIN(E1303:P1303))</f>
        <v>#REF!</v>
      </c>
    </row>
    <row r="1304" spans="18:18">
      <c r="R1304" s="137" t="e" cm="1">
        <f t="array" ref="R1304">_xlfn._xlws.FILTER(#REF!, E1304:P1304=MIN(E1304:P1304))</f>
        <v>#REF!</v>
      </c>
    </row>
    <row r="1305" spans="18:18">
      <c r="R1305" s="137" t="e" cm="1">
        <f t="array" ref="R1305">_xlfn._xlws.FILTER(#REF!, E1305:P1305=MIN(E1305:P1305))</f>
        <v>#REF!</v>
      </c>
    </row>
    <row r="1306" spans="18:18">
      <c r="R1306" s="137" t="e" cm="1">
        <f t="array" ref="R1306">_xlfn._xlws.FILTER(#REF!, E1306:P1306=MIN(E1306:P1306))</f>
        <v>#REF!</v>
      </c>
    </row>
    <row r="1307" spans="18:18">
      <c r="R1307" s="137" t="e" cm="1">
        <f t="array" ref="R1307">_xlfn._xlws.FILTER(#REF!, E1307:P1307=MIN(E1307:P1307))</f>
        <v>#REF!</v>
      </c>
    </row>
    <row r="1308" spans="18:18">
      <c r="R1308" s="137" t="e" cm="1">
        <f t="array" ref="R1308">_xlfn._xlws.FILTER(#REF!, E1308:P1308=MIN(E1308:P1308))</f>
        <v>#REF!</v>
      </c>
    </row>
    <row r="1309" spans="18:18">
      <c r="R1309" s="137" t="e" cm="1">
        <f t="array" ref="R1309">_xlfn._xlws.FILTER(#REF!, E1309:P1309=MIN(E1309:P1309))</f>
        <v>#REF!</v>
      </c>
    </row>
    <row r="1310" spans="18:18">
      <c r="R1310" s="137" t="e" cm="1">
        <f t="array" ref="R1310">_xlfn._xlws.FILTER(#REF!, E1310:P1310=MIN(E1310:P1310))</f>
        <v>#REF!</v>
      </c>
    </row>
    <row r="1311" spans="18:18">
      <c r="R1311" s="137" t="e" cm="1">
        <f t="array" ref="R1311">_xlfn._xlws.FILTER(#REF!, E1311:P1311=MIN(E1311:P1311))</f>
        <v>#REF!</v>
      </c>
    </row>
    <row r="1312" spans="18:18">
      <c r="R1312" s="137" t="e" cm="1">
        <f t="array" ref="R1312">_xlfn._xlws.FILTER(#REF!, E1312:P1312=MIN(E1312:P1312))</f>
        <v>#REF!</v>
      </c>
    </row>
    <row r="1313" spans="18:18">
      <c r="R1313" s="137" t="e" cm="1">
        <f t="array" ref="R1313">_xlfn._xlws.FILTER(#REF!, E1313:P1313=MIN(E1313:P1313))</f>
        <v>#REF!</v>
      </c>
    </row>
    <row r="1314" spans="18:18">
      <c r="R1314" s="137" t="e" cm="1">
        <f t="array" ref="R1314">_xlfn._xlws.FILTER(#REF!, E1314:P1314=MIN(E1314:P1314))</f>
        <v>#REF!</v>
      </c>
    </row>
    <row r="1315" spans="18:18">
      <c r="R1315" s="137" t="e" cm="1">
        <f t="array" ref="R1315">_xlfn._xlws.FILTER(#REF!, E1315:P1315=MIN(E1315:P1315))</f>
        <v>#REF!</v>
      </c>
    </row>
    <row r="1316" spans="18:18">
      <c r="R1316" s="137" t="e" cm="1">
        <f t="array" ref="R1316">_xlfn._xlws.FILTER(#REF!, E1316:P1316=MIN(E1316:P1316))</f>
        <v>#REF!</v>
      </c>
    </row>
    <row r="1317" spans="18:18">
      <c r="R1317" s="137" t="e" cm="1">
        <f t="array" ref="R1317">_xlfn._xlws.FILTER(#REF!, E1317:P1317=MIN(E1317:P1317))</f>
        <v>#REF!</v>
      </c>
    </row>
    <row r="1318" spans="18:18">
      <c r="R1318" s="137" t="e" cm="1">
        <f t="array" ref="R1318">_xlfn._xlws.FILTER(#REF!, E1318:P1318=MIN(E1318:P1318))</f>
        <v>#REF!</v>
      </c>
    </row>
    <row r="1319" spans="18:18">
      <c r="R1319" s="137" t="e" cm="1">
        <f t="array" ref="R1319">_xlfn._xlws.FILTER(#REF!, E1319:P1319=MIN(E1319:P1319))</f>
        <v>#REF!</v>
      </c>
    </row>
    <row r="1320" spans="18:18">
      <c r="R1320" s="137" t="e" cm="1">
        <f t="array" ref="R1320">_xlfn._xlws.FILTER(#REF!, E1320:P1320=MIN(E1320:P1320))</f>
        <v>#REF!</v>
      </c>
    </row>
    <row r="1321" spans="18:18">
      <c r="R1321" s="137" t="e" cm="1">
        <f t="array" ref="R1321">_xlfn._xlws.FILTER(#REF!, E1321:P1321=MIN(E1321:P1321))</f>
        <v>#REF!</v>
      </c>
    </row>
    <row r="1322" spans="18:18">
      <c r="R1322" s="137" t="e" cm="1">
        <f t="array" ref="R1322">_xlfn._xlws.FILTER(#REF!, E1322:P1322=MIN(E1322:P1322))</f>
        <v>#REF!</v>
      </c>
    </row>
    <row r="1323" spans="18:18">
      <c r="R1323" s="137" t="e" cm="1">
        <f t="array" ref="R1323">_xlfn._xlws.FILTER(#REF!, E1323:P1323=MIN(E1323:P1323))</f>
        <v>#REF!</v>
      </c>
    </row>
    <row r="1324" spans="18:18">
      <c r="R1324" s="137" t="e" cm="1">
        <f t="array" ref="R1324">_xlfn._xlws.FILTER(#REF!, E1324:P1324=MIN(E1324:P1324))</f>
        <v>#REF!</v>
      </c>
    </row>
    <row r="1325" spans="18:18">
      <c r="R1325" s="137" t="e" cm="1">
        <f t="array" ref="R1325">_xlfn._xlws.FILTER(#REF!, E1325:P1325=MIN(E1325:P1325))</f>
        <v>#REF!</v>
      </c>
    </row>
    <row r="1326" spans="18:18">
      <c r="R1326" s="137" t="e" cm="1">
        <f t="array" ref="R1326">_xlfn._xlws.FILTER(#REF!, E1326:P1326=MIN(E1326:P1326))</f>
        <v>#REF!</v>
      </c>
    </row>
    <row r="1327" spans="18:18">
      <c r="R1327" s="137" t="e" cm="1">
        <f t="array" ref="R1327">_xlfn._xlws.FILTER(#REF!, E1327:P1327=MIN(E1327:P1327))</f>
        <v>#REF!</v>
      </c>
    </row>
    <row r="1328" spans="18:18">
      <c r="R1328" s="137" t="e" cm="1">
        <f t="array" ref="R1328">_xlfn._xlws.FILTER(#REF!, E1328:P1328=MIN(E1328:P1328))</f>
        <v>#REF!</v>
      </c>
    </row>
    <row r="1329" spans="18:18">
      <c r="R1329" s="137" t="e" cm="1">
        <f t="array" ref="R1329">_xlfn._xlws.FILTER(#REF!, E1329:P1329=MIN(E1329:P1329))</f>
        <v>#REF!</v>
      </c>
    </row>
    <row r="1330" spans="18:18">
      <c r="R1330" s="137" t="e" cm="1">
        <f t="array" ref="R1330">_xlfn._xlws.FILTER(#REF!, E1330:P1330=MIN(E1330:P1330))</f>
        <v>#REF!</v>
      </c>
    </row>
    <row r="1331" spans="18:18">
      <c r="R1331" s="137" t="e" cm="1">
        <f t="array" ref="R1331">_xlfn._xlws.FILTER(#REF!, E1331:P1331=MIN(E1331:P1331))</f>
        <v>#REF!</v>
      </c>
    </row>
    <row r="1332" spans="18:18">
      <c r="R1332" s="137" t="e" cm="1">
        <f t="array" ref="R1332">_xlfn._xlws.FILTER(#REF!, E1332:P1332=MIN(E1332:P1332))</f>
        <v>#REF!</v>
      </c>
    </row>
    <row r="1333" spans="18:18">
      <c r="R1333" s="137" t="e" cm="1">
        <f t="array" ref="R1333">_xlfn._xlws.FILTER(#REF!, E1333:P1333=MIN(E1333:P1333))</f>
        <v>#REF!</v>
      </c>
    </row>
    <row r="1334" spans="18:18">
      <c r="R1334" s="137" t="e" cm="1">
        <f t="array" ref="R1334">_xlfn._xlws.FILTER(#REF!, E1334:P1334=MIN(E1334:P1334))</f>
        <v>#REF!</v>
      </c>
    </row>
    <row r="1335" spans="18:18">
      <c r="R1335" s="137" t="e" cm="1">
        <f t="array" ref="R1335">_xlfn._xlws.FILTER(#REF!, E1335:P1335=MIN(E1335:P1335))</f>
        <v>#REF!</v>
      </c>
    </row>
    <row r="1336" spans="18:18">
      <c r="R1336" s="137" t="e" cm="1">
        <f t="array" ref="R1336">_xlfn._xlws.FILTER(#REF!, E1336:P1336=MIN(E1336:P1336))</f>
        <v>#REF!</v>
      </c>
    </row>
    <row r="1337" spans="18:18">
      <c r="R1337" s="137" t="e" cm="1">
        <f t="array" ref="R1337">_xlfn._xlws.FILTER(#REF!, E1337:P1337=MIN(E1337:P1337))</f>
        <v>#REF!</v>
      </c>
    </row>
    <row r="1338" spans="18:18">
      <c r="R1338" s="137" t="e" cm="1">
        <f t="array" ref="R1338">_xlfn._xlws.FILTER(#REF!, E1338:P1338=MIN(E1338:P1338))</f>
        <v>#REF!</v>
      </c>
    </row>
    <row r="1339" spans="18:18">
      <c r="R1339" s="137" t="e" cm="1">
        <f t="array" ref="R1339">_xlfn._xlws.FILTER(#REF!, E1339:P1339=MIN(E1339:P1339))</f>
        <v>#REF!</v>
      </c>
    </row>
    <row r="1340" spans="18:18">
      <c r="R1340" s="137" t="e" cm="1">
        <f t="array" ref="R1340">_xlfn._xlws.FILTER(#REF!, E1340:P1340=MIN(E1340:P1340))</f>
        <v>#REF!</v>
      </c>
    </row>
    <row r="1341" spans="18:18">
      <c r="R1341" s="137" t="e" cm="1">
        <f t="array" ref="R1341">_xlfn._xlws.FILTER(#REF!, E1341:P1341=MIN(E1341:P1341))</f>
        <v>#REF!</v>
      </c>
    </row>
    <row r="1342" spans="18:18">
      <c r="R1342" s="137" t="e" cm="1">
        <f t="array" ref="R1342">_xlfn._xlws.FILTER(#REF!, E1342:P1342=MIN(E1342:P1342))</f>
        <v>#REF!</v>
      </c>
    </row>
    <row r="1343" spans="18:18">
      <c r="R1343" s="137" t="e" cm="1">
        <f t="array" ref="R1343">_xlfn._xlws.FILTER(#REF!, E1343:P1343=MIN(E1343:P1343))</f>
        <v>#REF!</v>
      </c>
    </row>
    <row r="1344" spans="18:18">
      <c r="R1344" s="137" t="e" cm="1">
        <f t="array" ref="R1344">_xlfn._xlws.FILTER(#REF!, E1344:P1344=MIN(E1344:P1344))</f>
        <v>#REF!</v>
      </c>
    </row>
    <row r="1345" spans="18:18">
      <c r="R1345" s="137" t="e" cm="1">
        <f t="array" ref="R1345">_xlfn._xlws.FILTER(#REF!, E1345:P1345=MIN(E1345:P1345))</f>
        <v>#REF!</v>
      </c>
    </row>
    <row r="1346" spans="18:18">
      <c r="R1346" s="137" t="e" cm="1">
        <f t="array" ref="R1346">_xlfn._xlws.FILTER(#REF!, E1346:P1346=MIN(E1346:P1346))</f>
        <v>#REF!</v>
      </c>
    </row>
    <row r="1347" spans="18:18">
      <c r="R1347" s="137" t="e" cm="1">
        <f t="array" ref="R1347">_xlfn._xlws.FILTER(#REF!, E1347:P1347=MIN(E1347:P1347))</f>
        <v>#REF!</v>
      </c>
    </row>
    <row r="1348" spans="18:18">
      <c r="R1348" s="137" t="e" cm="1">
        <f t="array" ref="R1348">_xlfn._xlws.FILTER(#REF!, E1348:P1348=MIN(E1348:P1348))</f>
        <v>#REF!</v>
      </c>
    </row>
    <row r="1349" spans="18:18">
      <c r="R1349" s="137" t="e" cm="1">
        <f t="array" ref="R1349">_xlfn._xlws.FILTER(#REF!, E1349:P1349=MIN(E1349:P1349))</f>
        <v>#REF!</v>
      </c>
    </row>
    <row r="1350" spans="18:18">
      <c r="R1350" s="137" t="e" cm="1">
        <f t="array" ref="R1350">_xlfn._xlws.FILTER(#REF!, E1350:P1350=MIN(E1350:P1350))</f>
        <v>#REF!</v>
      </c>
    </row>
    <row r="1351" spans="18:18">
      <c r="R1351" s="137" t="e" cm="1">
        <f t="array" ref="R1351">_xlfn._xlws.FILTER(#REF!, E1351:P1351=MIN(E1351:P1351))</f>
        <v>#REF!</v>
      </c>
    </row>
    <row r="1352" spans="18:18">
      <c r="R1352" s="137" t="e" cm="1">
        <f t="array" ref="R1352">_xlfn._xlws.FILTER(#REF!, E1352:P1352=MIN(E1352:P1352))</f>
        <v>#REF!</v>
      </c>
    </row>
    <row r="1353" spans="18:18">
      <c r="R1353" s="137" t="e" cm="1">
        <f t="array" ref="R1353">_xlfn._xlws.FILTER(#REF!, E1353:P1353=MIN(E1353:P1353))</f>
        <v>#REF!</v>
      </c>
    </row>
    <row r="1354" spans="18:18">
      <c r="R1354" s="137" t="e" cm="1">
        <f t="array" ref="R1354">_xlfn._xlws.FILTER(#REF!, E1354:P1354=MIN(E1354:P1354))</f>
        <v>#REF!</v>
      </c>
    </row>
    <row r="1355" spans="18:18">
      <c r="R1355" s="137" t="e" cm="1">
        <f t="array" ref="R1355">_xlfn._xlws.FILTER(#REF!, E1355:P1355=MIN(E1355:P1355))</f>
        <v>#REF!</v>
      </c>
    </row>
    <row r="1356" spans="18:18">
      <c r="R1356" s="137" t="e" cm="1">
        <f t="array" ref="R1356">_xlfn._xlws.FILTER(#REF!, E1356:P1356=MIN(E1356:P1356))</f>
        <v>#REF!</v>
      </c>
    </row>
    <row r="1357" spans="18:18">
      <c r="R1357" s="137" t="e" cm="1">
        <f t="array" ref="R1357">_xlfn._xlws.FILTER(#REF!, E1357:P1357=MIN(E1357:P1357))</f>
        <v>#REF!</v>
      </c>
    </row>
    <row r="1358" spans="18:18">
      <c r="R1358" s="137" t="e" cm="1">
        <f t="array" ref="R1358">_xlfn._xlws.FILTER(#REF!, E1358:P1358=MIN(E1358:P1358))</f>
        <v>#REF!</v>
      </c>
    </row>
    <row r="1359" spans="18:18">
      <c r="R1359" s="137" t="e" cm="1">
        <f t="array" ref="R1359">_xlfn._xlws.FILTER(#REF!, E1359:P1359=MIN(E1359:P1359))</f>
        <v>#REF!</v>
      </c>
    </row>
    <row r="1360" spans="18:18">
      <c r="R1360" s="137" t="e" cm="1">
        <f t="array" ref="R1360">_xlfn._xlws.FILTER(#REF!, E1360:P1360=MIN(E1360:P1360))</f>
        <v>#REF!</v>
      </c>
    </row>
    <row r="1361" spans="18:18">
      <c r="R1361" s="137" t="e" cm="1">
        <f t="array" ref="R1361">_xlfn._xlws.FILTER(#REF!, E1361:P1361=MIN(E1361:P1361))</f>
        <v>#REF!</v>
      </c>
    </row>
    <row r="1362" spans="18:18">
      <c r="R1362" s="137" t="e" cm="1">
        <f t="array" ref="R1362">_xlfn._xlws.FILTER(#REF!, E1362:P1362=MIN(E1362:P1362))</f>
        <v>#REF!</v>
      </c>
    </row>
    <row r="1363" spans="18:18">
      <c r="R1363" s="137" t="e" cm="1">
        <f t="array" ref="R1363">_xlfn._xlws.FILTER(#REF!, E1363:P1363=MIN(E1363:P1363))</f>
        <v>#REF!</v>
      </c>
    </row>
    <row r="1364" spans="18:18">
      <c r="R1364" s="137" t="e" cm="1">
        <f t="array" ref="R1364">_xlfn._xlws.FILTER(#REF!, E1364:P1364=MIN(E1364:P1364))</f>
        <v>#REF!</v>
      </c>
    </row>
    <row r="1365" spans="18:18">
      <c r="R1365" s="137" t="e" cm="1">
        <f t="array" ref="R1365">_xlfn._xlws.FILTER(#REF!, E1365:P1365=MIN(E1365:P1365))</f>
        <v>#REF!</v>
      </c>
    </row>
    <row r="1366" spans="18:18">
      <c r="R1366" s="137" t="e" cm="1">
        <f t="array" ref="R1366">_xlfn._xlws.FILTER(#REF!, E1366:P1366=MIN(E1366:P1366))</f>
        <v>#REF!</v>
      </c>
    </row>
    <row r="1367" spans="18:18">
      <c r="R1367" s="137" t="e" cm="1">
        <f t="array" ref="R1367">_xlfn._xlws.FILTER(#REF!, E1367:P1367=MIN(E1367:P1367))</f>
        <v>#REF!</v>
      </c>
    </row>
    <row r="1368" spans="18:18">
      <c r="R1368" s="137" t="e" cm="1">
        <f t="array" ref="R1368">_xlfn._xlws.FILTER(#REF!, E1368:P1368=MIN(E1368:P1368))</f>
        <v>#REF!</v>
      </c>
    </row>
    <row r="1369" spans="18:18">
      <c r="R1369" s="137" t="e" cm="1">
        <f t="array" ref="R1369">_xlfn._xlws.FILTER(#REF!, E1369:P1369=MIN(E1369:P1369))</f>
        <v>#REF!</v>
      </c>
    </row>
    <row r="1370" spans="18:18">
      <c r="R1370" s="137" t="e" cm="1">
        <f t="array" ref="R1370">_xlfn._xlws.FILTER(#REF!, E1370:P1370=MIN(E1370:P1370))</f>
        <v>#REF!</v>
      </c>
    </row>
    <row r="1371" spans="18:18">
      <c r="R1371" s="137" t="e" cm="1">
        <f t="array" ref="R1371">_xlfn._xlws.FILTER(#REF!, E1371:P1371=MIN(E1371:P1371))</f>
        <v>#REF!</v>
      </c>
    </row>
    <row r="1372" spans="18:18">
      <c r="R1372" s="137" t="e" cm="1">
        <f t="array" ref="R1372">_xlfn._xlws.FILTER(#REF!, E1372:P1372=MIN(E1372:P1372))</f>
        <v>#REF!</v>
      </c>
    </row>
    <row r="1373" spans="18:18">
      <c r="R1373" s="137" t="e" cm="1">
        <f t="array" ref="R1373">_xlfn._xlws.FILTER(#REF!, E1373:P1373=MIN(E1373:P1373))</f>
        <v>#REF!</v>
      </c>
    </row>
    <row r="1374" spans="18:18">
      <c r="R1374" s="137" t="e" cm="1">
        <f t="array" ref="R1374">_xlfn._xlws.FILTER(#REF!, E1374:P1374=MIN(E1374:P1374))</f>
        <v>#REF!</v>
      </c>
    </row>
    <row r="1375" spans="18:18">
      <c r="R1375" s="137" t="e" cm="1">
        <f t="array" ref="R1375">_xlfn._xlws.FILTER(#REF!, E1375:P1375=MIN(E1375:P1375))</f>
        <v>#REF!</v>
      </c>
    </row>
    <row r="1376" spans="18:18">
      <c r="R1376" s="137" t="e" cm="1">
        <f t="array" ref="R1376">_xlfn._xlws.FILTER(#REF!, E1376:P1376=MIN(E1376:P1376))</f>
        <v>#REF!</v>
      </c>
    </row>
    <row r="1377" spans="18:18">
      <c r="R1377" s="137" t="e" cm="1">
        <f t="array" ref="R1377">_xlfn._xlws.FILTER(#REF!, E1377:P1377=MIN(E1377:P1377))</f>
        <v>#REF!</v>
      </c>
    </row>
    <row r="1378" spans="18:18">
      <c r="R1378" s="137" t="e" cm="1">
        <f t="array" ref="R1378">_xlfn._xlws.FILTER(#REF!, E1378:P1378=MIN(E1378:P1378))</f>
        <v>#REF!</v>
      </c>
    </row>
    <row r="1379" spans="18:18">
      <c r="R1379" s="137" t="e" cm="1">
        <f t="array" ref="R1379">_xlfn._xlws.FILTER(#REF!, E1379:P1379=MIN(E1379:P1379))</f>
        <v>#REF!</v>
      </c>
    </row>
    <row r="1380" spans="18:18">
      <c r="R1380" s="137" t="e" cm="1">
        <f t="array" ref="R1380">_xlfn._xlws.FILTER(#REF!, E1380:P1380=MIN(E1380:P1380))</f>
        <v>#REF!</v>
      </c>
    </row>
    <row r="1381" spans="18:18">
      <c r="R1381" s="137" t="e" cm="1">
        <f t="array" ref="R1381">_xlfn._xlws.FILTER(#REF!, E1381:P1381=MIN(E1381:P1381))</f>
        <v>#REF!</v>
      </c>
    </row>
    <row r="1382" spans="18:18">
      <c r="R1382" s="137" t="e" cm="1">
        <f t="array" ref="R1382">_xlfn._xlws.FILTER(#REF!, E1382:P1382=MIN(E1382:P1382))</f>
        <v>#REF!</v>
      </c>
    </row>
    <row r="1383" spans="18:18">
      <c r="R1383" s="137" t="e" cm="1">
        <f t="array" ref="R1383">_xlfn._xlws.FILTER(#REF!, E1383:P1383=MIN(E1383:P1383))</f>
        <v>#REF!</v>
      </c>
    </row>
    <row r="1384" spans="18:18">
      <c r="R1384" s="137" t="e" cm="1">
        <f t="array" ref="R1384">_xlfn._xlws.FILTER(#REF!, E1384:P1384=MIN(E1384:P1384))</f>
        <v>#REF!</v>
      </c>
    </row>
    <row r="1385" spans="18:18">
      <c r="R1385" s="137" t="e" cm="1">
        <f t="array" ref="R1385">_xlfn._xlws.FILTER(#REF!, E1385:P1385=MIN(E1385:P1385))</f>
        <v>#REF!</v>
      </c>
    </row>
    <row r="1386" spans="18:18">
      <c r="R1386" s="137" t="e" cm="1">
        <f t="array" ref="R1386">_xlfn._xlws.FILTER(#REF!, E1386:P1386=MIN(E1386:P1386))</f>
        <v>#REF!</v>
      </c>
    </row>
    <row r="1387" spans="18:18">
      <c r="R1387" s="137" t="e" cm="1">
        <f t="array" ref="R1387">_xlfn._xlws.FILTER(#REF!, E1387:P1387=MIN(E1387:P1387))</f>
        <v>#REF!</v>
      </c>
    </row>
    <row r="1388" spans="18:18">
      <c r="R1388" s="137" t="e" cm="1">
        <f t="array" ref="R1388">_xlfn._xlws.FILTER(#REF!, E1388:P1388=MIN(E1388:P1388))</f>
        <v>#REF!</v>
      </c>
    </row>
    <row r="1389" spans="18:18">
      <c r="R1389" s="137" t="e" cm="1">
        <f t="array" ref="R1389">_xlfn._xlws.FILTER(#REF!, E1389:P1389=MIN(E1389:P1389))</f>
        <v>#REF!</v>
      </c>
    </row>
    <row r="1390" spans="18:18">
      <c r="R1390" s="137" t="e" cm="1">
        <f t="array" ref="R1390">_xlfn._xlws.FILTER(#REF!, E1390:P1390=MIN(E1390:P1390))</f>
        <v>#REF!</v>
      </c>
    </row>
    <row r="1391" spans="18:18">
      <c r="R1391" s="137" t="e" cm="1">
        <f t="array" ref="R1391">_xlfn._xlws.FILTER(#REF!, E1391:P1391=MIN(E1391:P1391))</f>
        <v>#REF!</v>
      </c>
    </row>
    <row r="1392" spans="18:18">
      <c r="R1392" s="137" t="e" cm="1">
        <f t="array" ref="R1392">_xlfn._xlws.FILTER(#REF!, E1392:P1392=MIN(E1392:P1392))</f>
        <v>#REF!</v>
      </c>
    </row>
    <row r="1393" spans="18:18">
      <c r="R1393" s="137" t="e" cm="1">
        <f t="array" ref="R1393">_xlfn._xlws.FILTER(#REF!, E1393:P1393=MIN(E1393:P1393))</f>
        <v>#REF!</v>
      </c>
    </row>
    <row r="1394" spans="18:18">
      <c r="R1394" s="137" t="e" cm="1">
        <f t="array" ref="R1394">_xlfn._xlws.FILTER(#REF!, E1394:P1394=MIN(E1394:P1394))</f>
        <v>#REF!</v>
      </c>
    </row>
    <row r="1395" spans="18:18">
      <c r="R1395" s="137" t="e" cm="1">
        <f t="array" ref="R1395">_xlfn._xlws.FILTER(#REF!, E1395:P1395=MIN(E1395:P1395))</f>
        <v>#REF!</v>
      </c>
    </row>
    <row r="1396" spans="18:18">
      <c r="R1396" s="137" t="e" cm="1">
        <f t="array" ref="R1396">_xlfn._xlws.FILTER(#REF!, E1396:P1396=MIN(E1396:P1396))</f>
        <v>#REF!</v>
      </c>
    </row>
    <row r="1397" spans="18:18">
      <c r="R1397" s="137" t="e" cm="1">
        <f t="array" ref="R1397">_xlfn._xlws.FILTER(#REF!, E1397:P1397=MIN(E1397:P1397))</f>
        <v>#REF!</v>
      </c>
    </row>
    <row r="1398" spans="18:18">
      <c r="R1398" s="137" t="e" cm="1">
        <f t="array" ref="R1398">_xlfn._xlws.FILTER(#REF!, E1398:P1398=MIN(E1398:P1398))</f>
        <v>#REF!</v>
      </c>
    </row>
    <row r="1399" spans="18:18">
      <c r="R1399" s="137" t="e" cm="1">
        <f t="array" ref="R1399">_xlfn._xlws.FILTER(#REF!, E1399:P1399=MIN(E1399:P1399))</f>
        <v>#REF!</v>
      </c>
    </row>
    <row r="1400" spans="18:18">
      <c r="R1400" s="137" t="e" cm="1">
        <f t="array" ref="R1400">_xlfn._xlws.FILTER(#REF!, E1400:P1400=MIN(E1400:P1400))</f>
        <v>#REF!</v>
      </c>
    </row>
    <row r="1401" spans="18:18">
      <c r="R1401" s="137" t="e" cm="1">
        <f t="array" ref="R1401">_xlfn._xlws.FILTER(#REF!, E1401:P1401=MIN(E1401:P1401))</f>
        <v>#REF!</v>
      </c>
    </row>
    <row r="1402" spans="18:18">
      <c r="R1402" s="137" t="e" cm="1">
        <f t="array" ref="R1402">_xlfn._xlws.FILTER(#REF!, E1402:P1402=MIN(E1402:P1402))</f>
        <v>#REF!</v>
      </c>
    </row>
    <row r="1403" spans="18:18">
      <c r="R1403" s="137" t="e" cm="1">
        <f t="array" ref="R1403">_xlfn._xlws.FILTER(#REF!, E1403:P1403=MIN(E1403:P1403))</f>
        <v>#REF!</v>
      </c>
    </row>
    <row r="1404" spans="18:18">
      <c r="R1404" s="137" t="e" cm="1">
        <f t="array" ref="R1404">_xlfn._xlws.FILTER(#REF!, E1404:P1404=MIN(E1404:P1404))</f>
        <v>#REF!</v>
      </c>
    </row>
    <row r="1405" spans="18:18">
      <c r="R1405" s="137" t="e" cm="1">
        <f t="array" ref="R1405">_xlfn._xlws.FILTER(#REF!, E1405:P1405=MIN(E1405:P1405))</f>
        <v>#REF!</v>
      </c>
    </row>
    <row r="1406" spans="18:18">
      <c r="R1406" s="137" t="e" cm="1">
        <f t="array" ref="R1406">_xlfn._xlws.FILTER(#REF!, E1406:P1406=MIN(E1406:P1406))</f>
        <v>#REF!</v>
      </c>
    </row>
    <row r="1407" spans="18:18">
      <c r="R1407" s="137" t="e" cm="1">
        <f t="array" ref="R1407">_xlfn._xlws.FILTER(#REF!, E1407:P1407=MIN(E1407:P1407))</f>
        <v>#REF!</v>
      </c>
    </row>
    <row r="1408" spans="18:18">
      <c r="R1408" s="137" t="e" cm="1">
        <f t="array" ref="R1408">_xlfn._xlws.FILTER(#REF!, E1408:P1408=MIN(E1408:P1408))</f>
        <v>#REF!</v>
      </c>
    </row>
    <row r="1409" spans="18:18">
      <c r="R1409" s="137" t="e" cm="1">
        <f t="array" ref="R1409">_xlfn._xlws.FILTER(#REF!, E1409:P1409=MIN(E1409:P1409))</f>
        <v>#REF!</v>
      </c>
    </row>
    <row r="1410" spans="18:18">
      <c r="R1410" s="137" t="e" cm="1">
        <f t="array" ref="R1410">_xlfn._xlws.FILTER(#REF!, E1410:P1410=MIN(E1410:P1410))</f>
        <v>#REF!</v>
      </c>
    </row>
    <row r="1411" spans="18:18">
      <c r="R1411" s="137" t="e" cm="1">
        <f t="array" ref="R1411">_xlfn._xlws.FILTER(#REF!, E1411:P1411=MIN(E1411:P1411))</f>
        <v>#REF!</v>
      </c>
    </row>
    <row r="1412" spans="18:18">
      <c r="R1412" s="137" t="e" cm="1">
        <f t="array" ref="R1412">_xlfn._xlws.FILTER(#REF!, E1412:P1412=MIN(E1412:P1412))</f>
        <v>#REF!</v>
      </c>
    </row>
    <row r="1413" spans="18:18">
      <c r="R1413" s="137" t="e" cm="1">
        <f t="array" ref="R1413">_xlfn._xlws.FILTER(#REF!, E1413:P1413=MIN(E1413:P1413))</f>
        <v>#REF!</v>
      </c>
    </row>
    <row r="1414" spans="18:18">
      <c r="R1414" s="137" t="e" cm="1">
        <f t="array" ref="R1414">_xlfn._xlws.FILTER(#REF!, E1414:P1414=MIN(E1414:P1414))</f>
        <v>#REF!</v>
      </c>
    </row>
    <row r="1415" spans="18:18">
      <c r="R1415" s="137" t="e" cm="1">
        <f t="array" ref="R1415">_xlfn._xlws.FILTER(#REF!, E1415:P1415=MIN(E1415:P1415))</f>
        <v>#REF!</v>
      </c>
    </row>
    <row r="1416" spans="18:18">
      <c r="R1416" s="137" t="e" cm="1">
        <f t="array" ref="R1416">_xlfn._xlws.FILTER(#REF!, E1416:P1416=MIN(E1416:P1416))</f>
        <v>#REF!</v>
      </c>
    </row>
    <row r="1417" spans="18:18">
      <c r="R1417" s="137" t="e" cm="1">
        <f t="array" ref="R1417">_xlfn._xlws.FILTER(#REF!, E1417:P1417=MIN(E1417:P1417))</f>
        <v>#REF!</v>
      </c>
    </row>
    <row r="1418" spans="18:18">
      <c r="R1418" s="137" t="e" cm="1">
        <f t="array" ref="R1418">_xlfn._xlws.FILTER(#REF!, E1418:P1418=MIN(E1418:P1418))</f>
        <v>#REF!</v>
      </c>
    </row>
    <row r="1419" spans="18:18">
      <c r="R1419" s="137" t="e" cm="1">
        <f t="array" ref="R1419">_xlfn._xlws.FILTER(#REF!, E1419:P1419=MIN(E1419:P1419))</f>
        <v>#REF!</v>
      </c>
    </row>
    <row r="1420" spans="18:18">
      <c r="R1420" s="137" t="e" cm="1">
        <f t="array" ref="R1420">_xlfn._xlws.FILTER(#REF!, E1420:P1420=MIN(E1420:P1420))</f>
        <v>#REF!</v>
      </c>
    </row>
    <row r="1421" spans="18:18">
      <c r="R1421" s="137" t="e" cm="1">
        <f t="array" ref="R1421">_xlfn._xlws.FILTER(#REF!, E1421:P1421=MIN(E1421:P1421))</f>
        <v>#REF!</v>
      </c>
    </row>
    <row r="1422" spans="18:18">
      <c r="R1422" s="137" t="e" cm="1">
        <f t="array" ref="R1422">_xlfn._xlws.FILTER(#REF!, E1422:P1422=MIN(E1422:P1422))</f>
        <v>#REF!</v>
      </c>
    </row>
    <row r="1423" spans="18:18">
      <c r="R1423" s="137" t="e" cm="1">
        <f t="array" ref="R1423">_xlfn._xlws.FILTER(#REF!, E1423:P1423=MIN(E1423:P1423))</f>
        <v>#REF!</v>
      </c>
    </row>
    <row r="1424" spans="18:18">
      <c r="R1424" s="137" t="e" cm="1">
        <f t="array" ref="R1424">_xlfn._xlws.FILTER(#REF!, E1424:P1424=MIN(E1424:P1424))</f>
        <v>#REF!</v>
      </c>
    </row>
    <row r="1425" spans="18:18">
      <c r="R1425" s="137" t="e" cm="1">
        <f t="array" ref="R1425">_xlfn._xlws.FILTER(#REF!, E1425:P1425=MIN(E1425:P1425))</f>
        <v>#REF!</v>
      </c>
    </row>
    <row r="1426" spans="18:18">
      <c r="R1426" s="137" t="e" cm="1">
        <f t="array" ref="R1426">_xlfn._xlws.FILTER(#REF!, E1426:P1426=MIN(E1426:P1426))</f>
        <v>#REF!</v>
      </c>
    </row>
    <row r="1427" spans="18:18">
      <c r="R1427" s="137" t="e" cm="1">
        <f t="array" ref="R1427">_xlfn._xlws.FILTER(#REF!, E1427:P1427=MIN(E1427:P1427))</f>
        <v>#REF!</v>
      </c>
    </row>
    <row r="1428" spans="18:18">
      <c r="R1428" s="137" t="e" cm="1">
        <f t="array" ref="R1428">_xlfn._xlws.FILTER(#REF!, E1428:P1428=MIN(E1428:P1428))</f>
        <v>#REF!</v>
      </c>
    </row>
    <row r="1429" spans="18:18">
      <c r="R1429" s="137" t="e" cm="1">
        <f t="array" ref="R1429">_xlfn._xlws.FILTER(#REF!, E1429:P1429=MIN(E1429:P1429))</f>
        <v>#REF!</v>
      </c>
    </row>
    <row r="1430" spans="18:18">
      <c r="R1430" s="137" t="e" cm="1">
        <f t="array" ref="R1430">_xlfn._xlws.FILTER(#REF!, E1430:P1430=MIN(E1430:P1430))</f>
        <v>#REF!</v>
      </c>
    </row>
    <row r="1431" spans="18:18">
      <c r="R1431" s="137" t="e" cm="1">
        <f t="array" ref="R1431">_xlfn._xlws.FILTER(#REF!, E1431:P1431=MIN(E1431:P1431))</f>
        <v>#REF!</v>
      </c>
    </row>
    <row r="1432" spans="18:18">
      <c r="R1432" s="137" t="e" cm="1">
        <f t="array" ref="R1432">_xlfn._xlws.FILTER(#REF!, E1432:P1432=MIN(E1432:P1432))</f>
        <v>#REF!</v>
      </c>
    </row>
    <row r="1433" spans="18:18">
      <c r="R1433" s="137" t="e" cm="1">
        <f t="array" ref="R1433">_xlfn._xlws.FILTER(#REF!, E1433:P1433=MIN(E1433:P1433))</f>
        <v>#REF!</v>
      </c>
    </row>
    <row r="1434" spans="18:18">
      <c r="R1434" s="137" t="e" cm="1">
        <f t="array" ref="R1434">_xlfn._xlws.FILTER(#REF!, E1434:P1434=MIN(E1434:P1434))</f>
        <v>#REF!</v>
      </c>
    </row>
    <row r="1435" spans="18:18">
      <c r="R1435" s="137" t="e" cm="1">
        <f t="array" ref="R1435">_xlfn._xlws.FILTER(#REF!, E1435:P1435=MIN(E1435:P1435))</f>
        <v>#REF!</v>
      </c>
    </row>
    <row r="1436" spans="18:18">
      <c r="R1436" s="137" t="e" cm="1">
        <f t="array" ref="R1436">_xlfn._xlws.FILTER(#REF!, E1436:P1436=MIN(E1436:P1436))</f>
        <v>#REF!</v>
      </c>
    </row>
    <row r="1437" spans="18:18">
      <c r="R1437" s="137" t="e" cm="1">
        <f t="array" ref="R1437">_xlfn._xlws.FILTER(#REF!, E1437:P1437=MIN(E1437:P1437))</f>
        <v>#REF!</v>
      </c>
    </row>
    <row r="1438" spans="18:18">
      <c r="R1438" s="137" t="e" cm="1">
        <f t="array" ref="R1438">_xlfn._xlws.FILTER(#REF!, E1438:P1438=MIN(E1438:P1438))</f>
        <v>#REF!</v>
      </c>
    </row>
    <row r="1439" spans="18:18">
      <c r="R1439" s="137" t="e" cm="1">
        <f t="array" ref="R1439">_xlfn._xlws.FILTER(#REF!, E1439:P1439=MIN(E1439:P1439))</f>
        <v>#REF!</v>
      </c>
    </row>
    <row r="1440" spans="18:18">
      <c r="R1440" s="137" t="e" cm="1">
        <f t="array" ref="R1440">_xlfn._xlws.FILTER(#REF!, E1440:P1440=MIN(E1440:P1440))</f>
        <v>#REF!</v>
      </c>
    </row>
    <row r="1441" spans="18:18">
      <c r="R1441" s="137" t="e" cm="1">
        <f t="array" ref="R1441">_xlfn._xlws.FILTER(#REF!, E1441:P1441=MIN(E1441:P1441))</f>
        <v>#REF!</v>
      </c>
    </row>
    <row r="1442" spans="18:18">
      <c r="R1442" s="137" t="e" cm="1">
        <f t="array" ref="R1442">_xlfn._xlws.FILTER(#REF!, E1442:P1442=MIN(E1442:P1442))</f>
        <v>#REF!</v>
      </c>
    </row>
    <row r="1443" spans="18:18">
      <c r="R1443" s="137" t="e" cm="1">
        <f t="array" ref="R1443">_xlfn._xlws.FILTER(#REF!, E1443:P1443=MIN(E1443:P1443))</f>
        <v>#REF!</v>
      </c>
    </row>
    <row r="1444" spans="18:18">
      <c r="R1444" s="137" t="e" cm="1">
        <f t="array" ref="R1444">_xlfn._xlws.FILTER(#REF!, E1444:P1444=MIN(E1444:P1444))</f>
        <v>#REF!</v>
      </c>
    </row>
    <row r="1445" spans="18:18">
      <c r="R1445" s="137" t="e" cm="1">
        <f t="array" ref="R1445">_xlfn._xlws.FILTER(#REF!, E1445:P1445=MIN(E1445:P1445))</f>
        <v>#REF!</v>
      </c>
    </row>
    <row r="1446" spans="18:18">
      <c r="R1446" s="137" t="e" cm="1">
        <f t="array" ref="R1446">_xlfn._xlws.FILTER(#REF!, E1446:P1446=MIN(E1446:P1446))</f>
        <v>#REF!</v>
      </c>
    </row>
    <row r="1447" spans="18:18">
      <c r="R1447" s="137" t="e" cm="1">
        <f t="array" ref="R1447">_xlfn._xlws.FILTER(#REF!, E1447:P1447=MIN(E1447:P1447))</f>
        <v>#REF!</v>
      </c>
    </row>
    <row r="1448" spans="18:18">
      <c r="R1448" s="137" t="e" cm="1">
        <f t="array" ref="R1448">_xlfn._xlws.FILTER(#REF!, E1448:P1448=MIN(E1448:P1448))</f>
        <v>#REF!</v>
      </c>
    </row>
    <row r="1449" spans="18:18">
      <c r="R1449" s="137" t="e" cm="1">
        <f t="array" ref="R1449">_xlfn._xlws.FILTER(#REF!, E1449:P1449=MIN(E1449:P1449))</f>
        <v>#REF!</v>
      </c>
    </row>
    <row r="1450" spans="18:18">
      <c r="R1450" s="137" t="e" cm="1">
        <f t="array" ref="R1450">_xlfn._xlws.FILTER(#REF!, E1450:P1450=MIN(E1450:P1450))</f>
        <v>#REF!</v>
      </c>
    </row>
    <row r="1451" spans="18:18">
      <c r="R1451" s="137" t="e" cm="1">
        <f t="array" ref="R1451">_xlfn._xlws.FILTER(#REF!, E1451:P1451=MIN(E1451:P1451))</f>
        <v>#REF!</v>
      </c>
    </row>
    <row r="1452" spans="18:18">
      <c r="R1452" s="137" t="e" cm="1">
        <f t="array" ref="R1452">_xlfn._xlws.FILTER(#REF!, E1452:P1452=MIN(E1452:P1452))</f>
        <v>#REF!</v>
      </c>
    </row>
    <row r="1453" spans="18:18">
      <c r="R1453" s="137" t="e" cm="1">
        <f t="array" ref="R1453">_xlfn._xlws.FILTER(#REF!, E1453:P1453=MIN(E1453:P1453))</f>
        <v>#REF!</v>
      </c>
    </row>
    <row r="1454" spans="18:18">
      <c r="R1454" s="137" t="e" cm="1">
        <f t="array" ref="R1454">_xlfn._xlws.FILTER(#REF!, E1454:P1454=MIN(E1454:P1454))</f>
        <v>#REF!</v>
      </c>
    </row>
    <row r="1455" spans="18:18">
      <c r="R1455" s="137" t="e" cm="1">
        <f t="array" ref="R1455">_xlfn._xlws.FILTER(#REF!, E1455:P1455=MIN(E1455:P1455))</f>
        <v>#REF!</v>
      </c>
    </row>
    <row r="1456" spans="18:18">
      <c r="R1456" s="137" t="e" cm="1">
        <f t="array" ref="R1456">_xlfn._xlws.FILTER(#REF!, E1456:P1456=MIN(E1456:P1456))</f>
        <v>#REF!</v>
      </c>
    </row>
    <row r="1457" spans="18:18">
      <c r="R1457" s="137" t="e" cm="1">
        <f t="array" ref="R1457">_xlfn._xlws.FILTER(#REF!, E1457:P1457=MIN(E1457:P1457))</f>
        <v>#REF!</v>
      </c>
    </row>
    <row r="1458" spans="18:18">
      <c r="R1458" s="137" t="e" cm="1">
        <f t="array" ref="R1458">_xlfn._xlws.FILTER(#REF!, E1458:P1458=MIN(E1458:P1458))</f>
        <v>#REF!</v>
      </c>
    </row>
    <row r="1459" spans="18:18">
      <c r="R1459" s="137" t="e" cm="1">
        <f t="array" ref="R1459">_xlfn._xlws.FILTER(#REF!, E1459:P1459=MIN(E1459:P1459))</f>
        <v>#REF!</v>
      </c>
    </row>
    <row r="1460" spans="18:18">
      <c r="R1460" s="137" t="e" cm="1">
        <f t="array" ref="R1460">_xlfn._xlws.FILTER(#REF!, E1460:P1460=MIN(E1460:P1460))</f>
        <v>#REF!</v>
      </c>
    </row>
    <row r="1461" spans="18:18">
      <c r="R1461" s="137" t="e" cm="1">
        <f t="array" ref="R1461">_xlfn._xlws.FILTER(#REF!, E1461:P1461=MIN(E1461:P1461))</f>
        <v>#REF!</v>
      </c>
    </row>
    <row r="1462" spans="18:18">
      <c r="R1462" s="137" t="e" cm="1">
        <f t="array" ref="R1462">_xlfn._xlws.FILTER(#REF!, E1462:P1462=MIN(E1462:P1462))</f>
        <v>#REF!</v>
      </c>
    </row>
    <row r="1463" spans="18:18">
      <c r="R1463" s="137" t="e" cm="1">
        <f t="array" ref="R1463">_xlfn._xlws.FILTER(#REF!, E1463:P1463=MIN(E1463:P1463))</f>
        <v>#REF!</v>
      </c>
    </row>
    <row r="1464" spans="18:18">
      <c r="R1464" s="137" t="e" cm="1">
        <f t="array" ref="R1464">_xlfn._xlws.FILTER(#REF!, E1464:P1464=MIN(E1464:P1464))</f>
        <v>#REF!</v>
      </c>
    </row>
    <row r="1465" spans="18:18">
      <c r="R1465" s="137" t="e" cm="1">
        <f t="array" ref="R1465">_xlfn._xlws.FILTER(#REF!, E1465:P1465=MIN(E1465:P1465))</f>
        <v>#REF!</v>
      </c>
    </row>
    <row r="1466" spans="18:18">
      <c r="R1466" s="137" t="e" cm="1">
        <f t="array" ref="R1466">_xlfn._xlws.FILTER(#REF!, E1466:P1466=MIN(E1466:P1466))</f>
        <v>#REF!</v>
      </c>
    </row>
    <row r="1467" spans="18:18">
      <c r="R1467" s="137" t="e" cm="1">
        <f t="array" ref="R1467">_xlfn._xlws.FILTER(#REF!, E1467:P1467=MIN(E1467:P1467))</f>
        <v>#REF!</v>
      </c>
    </row>
    <row r="1468" spans="18:18">
      <c r="R1468" s="137" t="e" cm="1">
        <f t="array" ref="R1468">_xlfn._xlws.FILTER(#REF!, E1468:P1468=MIN(E1468:P1468))</f>
        <v>#REF!</v>
      </c>
    </row>
    <row r="1469" spans="18:18">
      <c r="R1469" s="137" t="e" cm="1">
        <f t="array" ref="R1469">_xlfn._xlws.FILTER(#REF!, E1469:P1469=MIN(E1469:P1469))</f>
        <v>#REF!</v>
      </c>
    </row>
    <row r="1470" spans="18:18">
      <c r="R1470" s="137" t="e" cm="1">
        <f t="array" ref="R1470">_xlfn._xlws.FILTER(#REF!, E1470:P1470=MIN(E1470:P1470))</f>
        <v>#REF!</v>
      </c>
    </row>
    <row r="1471" spans="18:18">
      <c r="R1471" s="137" t="e" cm="1">
        <f t="array" ref="R1471">_xlfn._xlws.FILTER(#REF!, E1471:P1471=MIN(E1471:P1471))</f>
        <v>#REF!</v>
      </c>
    </row>
    <row r="1472" spans="18:18">
      <c r="R1472" s="137" t="e" cm="1">
        <f t="array" ref="R1472">_xlfn._xlws.FILTER(#REF!, E1472:P1472=MIN(E1472:P1472))</f>
        <v>#REF!</v>
      </c>
    </row>
    <row r="1473" spans="18:18">
      <c r="R1473" s="137" t="e" cm="1">
        <f t="array" ref="R1473">_xlfn._xlws.FILTER(#REF!, E1473:P1473=MIN(E1473:P1473))</f>
        <v>#REF!</v>
      </c>
    </row>
    <row r="1474" spans="18:18">
      <c r="R1474" s="137" t="e" cm="1">
        <f t="array" ref="R1474">_xlfn._xlws.FILTER(#REF!, E1474:P1474=MIN(E1474:P1474))</f>
        <v>#REF!</v>
      </c>
    </row>
    <row r="1475" spans="18:18">
      <c r="R1475" s="137" t="e" cm="1">
        <f t="array" ref="R1475">_xlfn._xlws.FILTER(#REF!, E1475:P1475=MIN(E1475:P1475))</f>
        <v>#REF!</v>
      </c>
    </row>
    <row r="1476" spans="18:18">
      <c r="R1476" s="137" t="e" cm="1">
        <f t="array" ref="R1476">_xlfn._xlws.FILTER(#REF!, E1476:P1476=MIN(E1476:P1476))</f>
        <v>#REF!</v>
      </c>
    </row>
    <row r="1477" spans="18:18">
      <c r="R1477" s="137" t="e" cm="1">
        <f t="array" ref="R1477">_xlfn._xlws.FILTER(#REF!, E1477:P1477=MIN(E1477:P1477))</f>
        <v>#REF!</v>
      </c>
    </row>
    <row r="1478" spans="18:18">
      <c r="R1478" s="137" t="e" cm="1">
        <f t="array" ref="R1478">_xlfn._xlws.FILTER(#REF!, E1478:P1478=MIN(E1478:P1478))</f>
        <v>#REF!</v>
      </c>
    </row>
    <row r="1479" spans="18:18">
      <c r="R1479" s="137" t="e" cm="1">
        <f t="array" ref="R1479">_xlfn._xlws.FILTER(#REF!, E1479:P1479=MIN(E1479:P1479))</f>
        <v>#REF!</v>
      </c>
    </row>
    <row r="1480" spans="18:18">
      <c r="R1480" s="137" t="e" cm="1">
        <f t="array" ref="R1480">_xlfn._xlws.FILTER(#REF!, E1480:P1480=MIN(E1480:P1480))</f>
        <v>#REF!</v>
      </c>
    </row>
    <row r="1481" spans="18:18">
      <c r="R1481" s="137" t="e" cm="1">
        <f t="array" ref="R1481">_xlfn._xlws.FILTER(#REF!, E1481:P1481=MIN(E1481:P1481))</f>
        <v>#REF!</v>
      </c>
    </row>
    <row r="1482" spans="18:18">
      <c r="R1482" s="137" t="e" cm="1">
        <f t="array" ref="R1482">_xlfn._xlws.FILTER(#REF!, E1482:P1482=MIN(E1482:P1482))</f>
        <v>#REF!</v>
      </c>
    </row>
    <row r="1483" spans="18:18">
      <c r="R1483" s="137" t="e" cm="1">
        <f t="array" ref="R1483">_xlfn._xlws.FILTER(#REF!, E1483:P1483=MIN(E1483:P1483))</f>
        <v>#REF!</v>
      </c>
    </row>
    <row r="1484" spans="18:18">
      <c r="R1484" s="137" t="e" cm="1">
        <f t="array" ref="R1484">_xlfn._xlws.FILTER(#REF!, E1484:P1484=MIN(E1484:P1484))</f>
        <v>#REF!</v>
      </c>
    </row>
    <row r="1485" spans="18:18">
      <c r="R1485" s="137" t="e" cm="1">
        <f t="array" ref="R1485">_xlfn._xlws.FILTER(#REF!, E1485:P1485=MIN(E1485:P1485))</f>
        <v>#REF!</v>
      </c>
    </row>
    <row r="1486" spans="18:18">
      <c r="R1486" s="137" t="e" cm="1">
        <f t="array" ref="R1486">_xlfn._xlws.FILTER(#REF!, E1486:P1486=MIN(E1486:P1486))</f>
        <v>#REF!</v>
      </c>
    </row>
    <row r="1487" spans="18:18">
      <c r="R1487" s="137" t="e" cm="1">
        <f t="array" ref="R1487">_xlfn._xlws.FILTER(#REF!, E1487:P1487=MIN(E1487:P1487))</f>
        <v>#REF!</v>
      </c>
    </row>
    <row r="1488" spans="18:18">
      <c r="R1488" s="137" t="e" cm="1">
        <f t="array" ref="R1488">_xlfn._xlws.FILTER(#REF!, E1488:P1488=MIN(E1488:P1488))</f>
        <v>#REF!</v>
      </c>
    </row>
    <row r="1489" spans="18:18">
      <c r="R1489" s="137" t="e" cm="1">
        <f t="array" ref="R1489">_xlfn._xlws.FILTER(#REF!, E1489:P1489=MIN(E1489:P1489))</f>
        <v>#REF!</v>
      </c>
    </row>
    <row r="1490" spans="18:18">
      <c r="R1490" s="137" t="e" cm="1">
        <f t="array" ref="R1490">_xlfn._xlws.FILTER(#REF!, E1490:P1490=MIN(E1490:P1490))</f>
        <v>#REF!</v>
      </c>
    </row>
    <row r="1491" spans="18:18">
      <c r="R1491" s="137" t="e" cm="1">
        <f t="array" ref="R1491">_xlfn._xlws.FILTER(#REF!, E1491:P1491=MIN(E1491:P1491))</f>
        <v>#REF!</v>
      </c>
    </row>
    <row r="1492" spans="18:18">
      <c r="R1492" s="137" t="e" cm="1">
        <f t="array" ref="R1492">_xlfn._xlws.FILTER(#REF!, E1492:P1492=MIN(E1492:P1492))</f>
        <v>#REF!</v>
      </c>
    </row>
    <row r="1493" spans="18:18">
      <c r="R1493" s="137" t="e" cm="1">
        <f t="array" ref="R1493">_xlfn._xlws.FILTER(#REF!, E1493:P1493=MIN(E1493:P1493))</f>
        <v>#REF!</v>
      </c>
    </row>
    <row r="1494" spans="18:18">
      <c r="R1494" s="137" t="e" cm="1">
        <f t="array" ref="R1494">_xlfn._xlws.FILTER(#REF!, E1494:P1494=MIN(E1494:P1494))</f>
        <v>#REF!</v>
      </c>
    </row>
    <row r="1495" spans="18:18">
      <c r="R1495" s="137" t="e" cm="1">
        <f t="array" ref="R1495">_xlfn._xlws.FILTER(#REF!, E1495:P1495=MIN(E1495:P1495))</f>
        <v>#REF!</v>
      </c>
    </row>
    <row r="1496" spans="18:18">
      <c r="R1496" s="137" t="e" cm="1">
        <f t="array" ref="R1496">_xlfn._xlws.FILTER(#REF!, E1496:P1496=MIN(E1496:P1496))</f>
        <v>#REF!</v>
      </c>
    </row>
    <row r="1497" spans="18:18">
      <c r="R1497" s="137" t="e" cm="1">
        <f t="array" ref="R1497">_xlfn._xlws.FILTER(#REF!, E1497:P1497=MIN(E1497:P1497))</f>
        <v>#REF!</v>
      </c>
    </row>
    <row r="1498" spans="18:18">
      <c r="R1498" s="137" t="e" cm="1">
        <f t="array" ref="R1498">_xlfn._xlws.FILTER(#REF!, E1498:P1498=MIN(E1498:P1498))</f>
        <v>#REF!</v>
      </c>
    </row>
    <row r="1499" spans="18:18">
      <c r="R1499" s="137" t="e" cm="1">
        <f t="array" ref="R1499">_xlfn._xlws.FILTER(#REF!, E1499:P1499=MIN(E1499:P1499))</f>
        <v>#REF!</v>
      </c>
    </row>
    <row r="1500" spans="18:18">
      <c r="R1500" s="137" t="e" cm="1">
        <f t="array" ref="R1500">_xlfn._xlws.FILTER(#REF!, E1500:P1500=MIN(E1500:P1500))</f>
        <v>#REF!</v>
      </c>
    </row>
    <row r="1501" spans="18:18">
      <c r="R1501" s="137" t="e" cm="1">
        <f t="array" ref="R1501">_xlfn._xlws.FILTER(#REF!, E1501:P1501=MIN(E1501:P1501))</f>
        <v>#REF!</v>
      </c>
    </row>
    <row r="1502" spans="18:18">
      <c r="R1502" s="137" t="e" cm="1">
        <f t="array" ref="R1502">_xlfn._xlws.FILTER(#REF!, E1502:P1502=MIN(E1502:P1502))</f>
        <v>#REF!</v>
      </c>
    </row>
    <row r="1503" spans="18:18">
      <c r="R1503" s="137" t="e" cm="1">
        <f t="array" ref="R1503">_xlfn._xlws.FILTER(#REF!, E1503:P1503=MIN(E1503:P1503))</f>
        <v>#REF!</v>
      </c>
    </row>
    <row r="1504" spans="18:18">
      <c r="R1504" s="137" t="e" cm="1">
        <f t="array" ref="R1504">_xlfn._xlws.FILTER(#REF!, E1504:P1504=MIN(E1504:P1504))</f>
        <v>#REF!</v>
      </c>
    </row>
    <row r="1505" spans="18:18">
      <c r="R1505" s="137" t="e" cm="1">
        <f t="array" ref="R1505">_xlfn._xlws.FILTER(#REF!, E1505:P1505=MIN(E1505:P1505))</f>
        <v>#REF!</v>
      </c>
    </row>
    <row r="1506" spans="18:18">
      <c r="R1506" s="137" t="e" cm="1">
        <f t="array" ref="R1506">_xlfn._xlws.FILTER(#REF!, E1506:P1506=MIN(E1506:P1506))</f>
        <v>#REF!</v>
      </c>
    </row>
    <row r="1507" spans="18:18">
      <c r="R1507" s="137" t="e" cm="1">
        <f t="array" ref="R1507">_xlfn._xlws.FILTER(#REF!, E1507:P1507=MIN(E1507:P1507))</f>
        <v>#REF!</v>
      </c>
    </row>
    <row r="1508" spans="18:18">
      <c r="R1508" s="137" t="e" cm="1">
        <f t="array" ref="R1508">_xlfn._xlws.FILTER(#REF!, E1508:P1508=MIN(E1508:P1508))</f>
        <v>#REF!</v>
      </c>
    </row>
    <row r="1509" spans="18:18">
      <c r="R1509" s="137" t="e" cm="1">
        <f t="array" ref="R1509">_xlfn._xlws.FILTER(#REF!, E1509:P1509=MIN(E1509:P1509))</f>
        <v>#REF!</v>
      </c>
    </row>
    <row r="1510" spans="18:18">
      <c r="R1510" s="137" t="e" cm="1">
        <f t="array" ref="R1510">_xlfn._xlws.FILTER(#REF!, E1510:P1510=MIN(E1510:P1510))</f>
        <v>#REF!</v>
      </c>
    </row>
    <row r="1511" spans="18:18">
      <c r="R1511" s="137" t="e" cm="1">
        <f t="array" ref="R1511">_xlfn._xlws.FILTER(#REF!, E1511:P1511=MIN(E1511:P1511))</f>
        <v>#REF!</v>
      </c>
    </row>
    <row r="1512" spans="18:18">
      <c r="R1512" s="137" t="e" cm="1">
        <f t="array" ref="R1512">_xlfn._xlws.FILTER(#REF!, E1512:P1512=MIN(E1512:P1512))</f>
        <v>#REF!</v>
      </c>
    </row>
    <row r="1513" spans="18:18">
      <c r="R1513" s="137" t="e" cm="1">
        <f t="array" ref="R1513">_xlfn._xlws.FILTER(#REF!, E1513:P1513=MIN(E1513:P1513))</f>
        <v>#REF!</v>
      </c>
    </row>
    <row r="1514" spans="18:18">
      <c r="R1514" s="137" t="e" cm="1">
        <f t="array" ref="R1514">_xlfn._xlws.FILTER(#REF!, E1514:P1514=MIN(E1514:P1514))</f>
        <v>#REF!</v>
      </c>
    </row>
    <row r="1515" spans="18:18">
      <c r="R1515" s="137" t="e" cm="1">
        <f t="array" ref="R1515">_xlfn._xlws.FILTER(#REF!, E1515:P1515=MIN(E1515:P1515))</f>
        <v>#REF!</v>
      </c>
    </row>
    <row r="1516" spans="18:18">
      <c r="R1516" s="137" t="e" cm="1">
        <f t="array" ref="R1516">_xlfn._xlws.FILTER(#REF!, E1516:P1516=MIN(E1516:P1516))</f>
        <v>#REF!</v>
      </c>
    </row>
    <row r="1517" spans="18:18">
      <c r="R1517" s="137" t="e" cm="1">
        <f t="array" ref="R1517">_xlfn._xlws.FILTER(#REF!, E1517:P1517=MIN(E1517:P1517))</f>
        <v>#REF!</v>
      </c>
    </row>
    <row r="1518" spans="18:18">
      <c r="R1518" s="137" t="e" cm="1">
        <f t="array" ref="R1518">_xlfn._xlws.FILTER(#REF!, E1518:P1518=MIN(E1518:P1518))</f>
        <v>#REF!</v>
      </c>
    </row>
    <row r="1519" spans="18:18">
      <c r="R1519" s="137" t="e" cm="1">
        <f t="array" ref="R1519">_xlfn._xlws.FILTER(#REF!, E1519:P1519=MIN(E1519:P1519))</f>
        <v>#REF!</v>
      </c>
    </row>
    <row r="1520" spans="18:18">
      <c r="R1520" s="137" t="e" cm="1">
        <f t="array" ref="R1520">_xlfn._xlws.FILTER(#REF!, E1520:P1520=MIN(E1520:P1520))</f>
        <v>#REF!</v>
      </c>
    </row>
    <row r="1521" spans="18:18">
      <c r="R1521" s="137" t="e" cm="1">
        <f t="array" ref="R1521">_xlfn._xlws.FILTER(#REF!, E1521:P1521=MIN(E1521:P1521))</f>
        <v>#REF!</v>
      </c>
    </row>
    <row r="1522" spans="18:18">
      <c r="R1522" s="137" t="e" cm="1">
        <f t="array" ref="R1522">_xlfn._xlws.FILTER(#REF!, E1522:P1522=MIN(E1522:P1522))</f>
        <v>#REF!</v>
      </c>
    </row>
    <row r="1523" spans="18:18">
      <c r="R1523" s="137" t="e" cm="1">
        <f t="array" ref="R1523">_xlfn._xlws.FILTER(#REF!, E1523:P1523=MIN(E1523:P1523))</f>
        <v>#REF!</v>
      </c>
    </row>
    <row r="1524" spans="18:18">
      <c r="R1524" s="137" t="e" cm="1">
        <f t="array" ref="R1524">_xlfn._xlws.FILTER(#REF!, E1524:P1524=MIN(E1524:P1524))</f>
        <v>#REF!</v>
      </c>
    </row>
    <row r="1525" spans="18:18">
      <c r="R1525" s="137" t="e" cm="1">
        <f t="array" ref="R1525">_xlfn._xlws.FILTER(#REF!, E1525:P1525=MIN(E1525:P1525))</f>
        <v>#REF!</v>
      </c>
    </row>
    <row r="1526" spans="18:18">
      <c r="R1526" s="137" t="e" cm="1">
        <f t="array" ref="R1526">_xlfn._xlws.FILTER(#REF!, E1526:P1526=MIN(E1526:P1526))</f>
        <v>#REF!</v>
      </c>
    </row>
    <row r="1527" spans="18:18">
      <c r="R1527" s="137" t="e" cm="1">
        <f t="array" ref="R1527">_xlfn._xlws.FILTER(#REF!, E1527:P1527=MIN(E1527:P1527))</f>
        <v>#REF!</v>
      </c>
    </row>
    <row r="1528" spans="18:18">
      <c r="R1528" s="137" t="e" cm="1">
        <f t="array" ref="R1528">_xlfn._xlws.FILTER(#REF!, E1528:P1528=MIN(E1528:P1528))</f>
        <v>#REF!</v>
      </c>
    </row>
    <row r="1529" spans="18:18">
      <c r="R1529" s="137" t="e" cm="1">
        <f t="array" ref="R1529">_xlfn._xlws.FILTER(#REF!, E1529:P1529=MIN(E1529:P1529))</f>
        <v>#REF!</v>
      </c>
    </row>
    <row r="1530" spans="18:18">
      <c r="R1530" s="137" t="e" cm="1">
        <f t="array" ref="R1530">_xlfn._xlws.FILTER(#REF!, E1530:P1530=MIN(E1530:P1530))</f>
        <v>#REF!</v>
      </c>
    </row>
    <row r="1531" spans="18:18">
      <c r="R1531" s="137" t="e" cm="1">
        <f t="array" ref="R1531">_xlfn._xlws.FILTER(#REF!, E1531:P1531=MIN(E1531:P1531))</f>
        <v>#REF!</v>
      </c>
    </row>
    <row r="1532" spans="18:18">
      <c r="R1532" s="137" t="e" cm="1">
        <f t="array" ref="R1532">_xlfn._xlws.FILTER(#REF!, E1532:P1532=MIN(E1532:P1532))</f>
        <v>#REF!</v>
      </c>
    </row>
    <row r="1533" spans="18:18">
      <c r="R1533" s="137" t="e" cm="1">
        <f t="array" ref="R1533">_xlfn._xlws.FILTER(#REF!, E1533:P1533=MIN(E1533:P1533))</f>
        <v>#REF!</v>
      </c>
    </row>
    <row r="1534" spans="18:18">
      <c r="R1534" s="137" t="e" cm="1">
        <f t="array" ref="R1534">_xlfn._xlws.FILTER(#REF!, E1534:P1534=MIN(E1534:P1534))</f>
        <v>#REF!</v>
      </c>
    </row>
    <row r="1535" spans="18:18">
      <c r="R1535" s="137" t="e" cm="1">
        <f t="array" ref="R1535">_xlfn._xlws.FILTER(#REF!, E1535:P1535=MIN(E1535:P1535))</f>
        <v>#REF!</v>
      </c>
    </row>
    <row r="1536" spans="18:18">
      <c r="R1536" s="137" t="e" cm="1">
        <f t="array" ref="R1536">_xlfn._xlws.FILTER(#REF!, E1536:P1536=MIN(E1536:P1536))</f>
        <v>#REF!</v>
      </c>
    </row>
    <row r="1537" spans="18:18">
      <c r="R1537" s="137" t="e" cm="1">
        <f t="array" ref="R1537">_xlfn._xlws.FILTER(#REF!, E1537:P1537=MIN(E1537:P1537))</f>
        <v>#REF!</v>
      </c>
    </row>
    <row r="1538" spans="18:18">
      <c r="R1538" s="137" t="e" cm="1">
        <f t="array" ref="R1538">_xlfn._xlws.FILTER(#REF!, E1538:P1538=MIN(E1538:P1538))</f>
        <v>#REF!</v>
      </c>
    </row>
    <row r="1539" spans="18:18">
      <c r="R1539" s="137" t="e" cm="1">
        <f t="array" ref="R1539">_xlfn._xlws.FILTER(#REF!, E1539:P1539=MIN(E1539:P1539))</f>
        <v>#REF!</v>
      </c>
    </row>
    <row r="1540" spans="18:18">
      <c r="R1540" s="137" t="e" cm="1">
        <f t="array" ref="R1540">_xlfn._xlws.FILTER(#REF!, E1540:P1540=MIN(E1540:P1540))</f>
        <v>#REF!</v>
      </c>
    </row>
    <row r="1541" spans="18:18">
      <c r="R1541" s="137" t="e" cm="1">
        <f t="array" ref="R1541">_xlfn._xlws.FILTER(#REF!, E1541:P1541=MIN(E1541:P1541))</f>
        <v>#REF!</v>
      </c>
    </row>
    <row r="1542" spans="18:18">
      <c r="R1542" s="137" t="e" cm="1">
        <f t="array" ref="R1542">_xlfn._xlws.FILTER(#REF!, E1542:P1542=MIN(E1542:P1542))</f>
        <v>#REF!</v>
      </c>
    </row>
    <row r="1543" spans="18:18">
      <c r="R1543" s="137" t="e" cm="1">
        <f t="array" ref="R1543">_xlfn._xlws.FILTER(#REF!, E1543:P1543=MIN(E1543:P1543))</f>
        <v>#REF!</v>
      </c>
    </row>
    <row r="1544" spans="18:18">
      <c r="R1544" s="137" t="e" cm="1">
        <f t="array" ref="R1544">_xlfn._xlws.FILTER(#REF!, E1544:P1544=MIN(E1544:P1544))</f>
        <v>#REF!</v>
      </c>
    </row>
    <row r="1545" spans="18:18">
      <c r="R1545" s="137" t="e" cm="1">
        <f t="array" ref="R1545">_xlfn._xlws.FILTER(#REF!, E1545:P1545=MIN(E1545:P1545))</f>
        <v>#REF!</v>
      </c>
    </row>
    <row r="1546" spans="18:18">
      <c r="R1546" s="137" t="e" cm="1">
        <f t="array" ref="R1546">_xlfn._xlws.FILTER(#REF!, E1546:P1546=MIN(E1546:P1546))</f>
        <v>#REF!</v>
      </c>
    </row>
    <row r="1547" spans="18:18">
      <c r="R1547" s="137" t="e" cm="1">
        <f t="array" ref="R1547">_xlfn._xlws.FILTER(#REF!, E1547:P1547=MIN(E1547:P1547))</f>
        <v>#REF!</v>
      </c>
    </row>
    <row r="1548" spans="18:18">
      <c r="R1548" s="137" t="e" cm="1">
        <f t="array" ref="R1548">_xlfn._xlws.FILTER(#REF!, E1548:P1548=MIN(E1548:P1548))</f>
        <v>#REF!</v>
      </c>
    </row>
    <row r="1549" spans="18:18">
      <c r="R1549" s="137" t="e" cm="1">
        <f t="array" ref="R1549">_xlfn._xlws.FILTER(#REF!, E1549:P1549=MIN(E1549:P1549))</f>
        <v>#REF!</v>
      </c>
    </row>
    <row r="1550" spans="18:18">
      <c r="R1550" s="137" t="e" cm="1">
        <f t="array" ref="R1550">_xlfn._xlws.FILTER(#REF!, E1550:P1550=MIN(E1550:P1550))</f>
        <v>#REF!</v>
      </c>
    </row>
    <row r="1551" spans="18:18">
      <c r="R1551" s="137" t="e" cm="1">
        <f t="array" ref="R1551">_xlfn._xlws.FILTER(#REF!, E1551:P1551=MIN(E1551:P1551))</f>
        <v>#REF!</v>
      </c>
    </row>
    <row r="1552" spans="18:18">
      <c r="R1552" s="137" t="e" cm="1">
        <f t="array" ref="R1552">_xlfn._xlws.FILTER(#REF!, E1552:P1552=MIN(E1552:P1552))</f>
        <v>#REF!</v>
      </c>
    </row>
    <row r="1553" spans="18:18">
      <c r="R1553" s="137" t="e" cm="1">
        <f t="array" ref="R1553">_xlfn._xlws.FILTER(#REF!, E1553:P1553=MIN(E1553:P1553))</f>
        <v>#REF!</v>
      </c>
    </row>
    <row r="1554" spans="18:18">
      <c r="R1554" s="137" t="e" cm="1">
        <f t="array" ref="R1554">_xlfn._xlws.FILTER(#REF!, E1554:P1554=MIN(E1554:P1554))</f>
        <v>#REF!</v>
      </c>
    </row>
    <row r="1555" spans="18:18">
      <c r="R1555" s="137" t="e" cm="1">
        <f t="array" ref="R1555">_xlfn._xlws.FILTER(#REF!, E1555:P1555=MIN(E1555:P1555))</f>
        <v>#REF!</v>
      </c>
    </row>
    <row r="1556" spans="18:18">
      <c r="R1556" s="137" t="e" cm="1">
        <f t="array" ref="R1556">_xlfn._xlws.FILTER(#REF!, E1556:P1556=MIN(E1556:P1556))</f>
        <v>#REF!</v>
      </c>
    </row>
    <row r="1557" spans="18:18">
      <c r="R1557" s="137" t="e" cm="1">
        <f t="array" ref="R1557">_xlfn._xlws.FILTER(#REF!, E1557:P1557=MIN(E1557:P1557))</f>
        <v>#REF!</v>
      </c>
    </row>
    <row r="1558" spans="18:18">
      <c r="R1558" s="137" t="e" cm="1">
        <f t="array" ref="R1558">_xlfn._xlws.FILTER(#REF!, E1558:P1558=MIN(E1558:P1558))</f>
        <v>#REF!</v>
      </c>
    </row>
    <row r="1559" spans="18:18">
      <c r="R1559" s="137" t="e" cm="1">
        <f t="array" ref="R1559">_xlfn._xlws.FILTER(#REF!, E1559:P1559=MIN(E1559:P1559))</f>
        <v>#REF!</v>
      </c>
    </row>
    <row r="1560" spans="18:18">
      <c r="R1560" s="137" t="e" cm="1">
        <f t="array" ref="R1560">_xlfn._xlws.FILTER(#REF!, E1560:P1560=MIN(E1560:P1560))</f>
        <v>#REF!</v>
      </c>
    </row>
    <row r="1561" spans="18:18">
      <c r="R1561" s="137" t="e" cm="1">
        <f t="array" ref="R1561">_xlfn._xlws.FILTER(#REF!, E1561:P1561=MIN(E1561:P1561))</f>
        <v>#REF!</v>
      </c>
    </row>
    <row r="1562" spans="18:18">
      <c r="R1562" s="137" t="e" cm="1">
        <f t="array" ref="R1562">_xlfn._xlws.FILTER(#REF!, E1562:P1562=MIN(E1562:P1562))</f>
        <v>#REF!</v>
      </c>
    </row>
    <row r="1563" spans="18:18">
      <c r="R1563" s="137" t="e" cm="1">
        <f t="array" ref="R1563">_xlfn._xlws.FILTER(#REF!, E1563:P1563=MIN(E1563:P1563))</f>
        <v>#REF!</v>
      </c>
    </row>
    <row r="1564" spans="18:18">
      <c r="R1564" s="137" t="e" cm="1">
        <f t="array" ref="R1564">_xlfn._xlws.FILTER(#REF!, E1564:P1564=MIN(E1564:P1564))</f>
        <v>#REF!</v>
      </c>
    </row>
    <row r="1565" spans="18:18">
      <c r="R1565" s="137" t="e" cm="1">
        <f t="array" ref="R1565">_xlfn._xlws.FILTER(#REF!, E1565:P1565=MIN(E1565:P1565))</f>
        <v>#REF!</v>
      </c>
    </row>
    <row r="1566" spans="18:18">
      <c r="R1566" s="137" t="e" cm="1">
        <f t="array" ref="R1566">_xlfn._xlws.FILTER(#REF!, E1566:P1566=MIN(E1566:P1566))</f>
        <v>#REF!</v>
      </c>
    </row>
    <row r="1567" spans="18:18">
      <c r="R1567" s="137" t="e" cm="1">
        <f t="array" ref="R1567">_xlfn._xlws.FILTER(#REF!, E1567:P1567=MIN(E1567:P1567))</f>
        <v>#REF!</v>
      </c>
    </row>
    <row r="1568" spans="18:18">
      <c r="R1568" s="137" t="e" cm="1">
        <f t="array" ref="R1568">_xlfn._xlws.FILTER(#REF!, E1568:P1568=MIN(E1568:P1568))</f>
        <v>#REF!</v>
      </c>
    </row>
    <row r="1569" spans="18:18">
      <c r="R1569" s="137" t="e" cm="1">
        <f t="array" ref="R1569">_xlfn._xlws.FILTER(#REF!, E1569:P1569=MIN(E1569:P1569))</f>
        <v>#REF!</v>
      </c>
    </row>
    <row r="1570" spans="18:18">
      <c r="R1570" s="137" t="e" cm="1">
        <f t="array" ref="R1570">_xlfn._xlws.FILTER(#REF!, E1570:P1570=MIN(E1570:P1570))</f>
        <v>#REF!</v>
      </c>
    </row>
    <row r="1571" spans="18:18">
      <c r="R1571" s="137" t="e" cm="1">
        <f t="array" ref="R1571">_xlfn._xlws.FILTER(#REF!, E1571:P1571=MIN(E1571:P1571))</f>
        <v>#REF!</v>
      </c>
    </row>
    <row r="1572" spans="18:18">
      <c r="R1572" s="137" t="e" cm="1">
        <f t="array" ref="R1572">_xlfn._xlws.FILTER(#REF!, E1572:P1572=MIN(E1572:P1572))</f>
        <v>#REF!</v>
      </c>
    </row>
    <row r="1573" spans="18:18">
      <c r="R1573" s="137" t="e" cm="1">
        <f t="array" ref="R1573">_xlfn._xlws.FILTER(#REF!, E1573:P1573=MIN(E1573:P1573))</f>
        <v>#REF!</v>
      </c>
    </row>
    <row r="1574" spans="18:18">
      <c r="R1574" s="137" t="e" cm="1">
        <f t="array" ref="R1574">_xlfn._xlws.FILTER(#REF!, E1574:P1574=MIN(E1574:P1574))</f>
        <v>#REF!</v>
      </c>
    </row>
    <row r="1575" spans="18:18">
      <c r="R1575" s="137" t="e" cm="1">
        <f t="array" ref="R1575">_xlfn._xlws.FILTER(#REF!, E1575:P1575=MIN(E1575:P1575))</f>
        <v>#REF!</v>
      </c>
    </row>
    <row r="1576" spans="18:18">
      <c r="R1576" s="137" t="e" cm="1">
        <f t="array" ref="R1576">_xlfn._xlws.FILTER(#REF!, E1576:P1576=MIN(E1576:P1576))</f>
        <v>#REF!</v>
      </c>
    </row>
    <row r="1577" spans="18:18">
      <c r="R1577" s="137" t="e" cm="1">
        <f t="array" ref="R1577">_xlfn._xlws.FILTER(#REF!, E1577:P1577=MIN(E1577:P1577))</f>
        <v>#REF!</v>
      </c>
    </row>
    <row r="1578" spans="18:18">
      <c r="R1578" s="137" t="e" cm="1">
        <f t="array" ref="R1578">_xlfn._xlws.FILTER(#REF!, E1578:P1578=MIN(E1578:P1578))</f>
        <v>#REF!</v>
      </c>
    </row>
    <row r="1579" spans="18:18">
      <c r="R1579" s="137" t="e" cm="1">
        <f t="array" ref="R1579">_xlfn._xlws.FILTER(#REF!, E1579:P1579=MIN(E1579:P1579))</f>
        <v>#REF!</v>
      </c>
    </row>
    <row r="1580" spans="18:18">
      <c r="R1580" s="137" t="e" cm="1">
        <f t="array" ref="R1580">_xlfn._xlws.FILTER(#REF!, E1580:P1580=MIN(E1580:P1580))</f>
        <v>#REF!</v>
      </c>
    </row>
    <row r="1581" spans="18:18">
      <c r="R1581" s="137" t="e" cm="1">
        <f t="array" ref="R1581">_xlfn._xlws.FILTER(#REF!, E1581:P1581=MIN(E1581:P1581))</f>
        <v>#REF!</v>
      </c>
    </row>
    <row r="1582" spans="18:18">
      <c r="R1582" s="137" t="e" cm="1">
        <f t="array" ref="R1582">_xlfn._xlws.FILTER(#REF!, E1582:P1582=MIN(E1582:P1582))</f>
        <v>#REF!</v>
      </c>
    </row>
    <row r="1583" spans="18:18">
      <c r="R1583" s="137" t="e" cm="1">
        <f t="array" ref="R1583">_xlfn._xlws.FILTER(#REF!, E1583:P1583=MIN(E1583:P1583))</f>
        <v>#REF!</v>
      </c>
    </row>
    <row r="1584" spans="18:18">
      <c r="R1584" s="137" t="e" cm="1">
        <f t="array" ref="R1584">_xlfn._xlws.FILTER(#REF!, E1584:P1584=MIN(E1584:P1584))</f>
        <v>#REF!</v>
      </c>
    </row>
    <row r="1585" spans="18:18">
      <c r="R1585" s="137" t="e" cm="1">
        <f t="array" ref="R1585">_xlfn._xlws.FILTER(#REF!, E1585:P1585=MIN(E1585:P1585))</f>
        <v>#REF!</v>
      </c>
    </row>
    <row r="1586" spans="18:18">
      <c r="R1586" s="137" t="e" cm="1">
        <f t="array" ref="R1586">_xlfn._xlws.FILTER(#REF!, E1586:P1586=MIN(E1586:P1586))</f>
        <v>#REF!</v>
      </c>
    </row>
    <row r="1587" spans="18:18">
      <c r="R1587" s="137" t="e" cm="1">
        <f t="array" ref="R1587">_xlfn._xlws.FILTER(#REF!, E1587:P1587=MIN(E1587:P1587))</f>
        <v>#REF!</v>
      </c>
    </row>
    <row r="1588" spans="18:18">
      <c r="R1588" s="137" t="e" cm="1">
        <f t="array" ref="R1588">_xlfn._xlws.FILTER(#REF!, E1588:P1588=MIN(E1588:P1588))</f>
        <v>#REF!</v>
      </c>
    </row>
    <row r="1589" spans="18:18">
      <c r="R1589" s="137" t="e" cm="1">
        <f t="array" ref="R1589">_xlfn._xlws.FILTER(#REF!, E1589:P1589=MIN(E1589:P1589))</f>
        <v>#REF!</v>
      </c>
    </row>
    <row r="1590" spans="18:18">
      <c r="R1590" s="137" t="e" cm="1">
        <f t="array" ref="R1590">_xlfn._xlws.FILTER(#REF!, E1590:P1590=MIN(E1590:P1590))</f>
        <v>#REF!</v>
      </c>
    </row>
    <row r="1591" spans="18:18">
      <c r="R1591" s="137" t="e" cm="1">
        <f t="array" ref="R1591">_xlfn._xlws.FILTER(#REF!, E1591:P1591=MIN(E1591:P1591))</f>
        <v>#REF!</v>
      </c>
    </row>
    <row r="1592" spans="18:18">
      <c r="R1592" s="137" t="e" cm="1">
        <f t="array" ref="R1592">_xlfn._xlws.FILTER(#REF!, E1592:P1592=MIN(E1592:P1592))</f>
        <v>#REF!</v>
      </c>
    </row>
    <row r="1593" spans="18:18">
      <c r="R1593" s="137" t="e" cm="1">
        <f t="array" ref="R1593">_xlfn._xlws.FILTER(#REF!, E1593:P1593=MIN(E1593:P1593))</f>
        <v>#REF!</v>
      </c>
    </row>
    <row r="1594" spans="18:18">
      <c r="R1594" s="137" t="e" cm="1">
        <f t="array" ref="R1594">_xlfn._xlws.FILTER(#REF!, E1594:P1594=MIN(E1594:P1594))</f>
        <v>#REF!</v>
      </c>
    </row>
    <row r="1595" spans="18:18">
      <c r="R1595" s="137" t="e" cm="1">
        <f t="array" ref="R1595">_xlfn._xlws.FILTER(#REF!, E1595:P1595=MIN(E1595:P1595))</f>
        <v>#REF!</v>
      </c>
    </row>
    <row r="1596" spans="18:18">
      <c r="R1596" s="137" t="e" cm="1">
        <f t="array" ref="R1596">_xlfn._xlws.FILTER(#REF!, E1596:P1596=MIN(E1596:P1596))</f>
        <v>#REF!</v>
      </c>
    </row>
    <row r="1597" spans="18:18">
      <c r="R1597" s="137" t="e" cm="1">
        <f t="array" ref="R1597">_xlfn._xlws.FILTER(#REF!, E1597:P1597=MIN(E1597:P1597))</f>
        <v>#REF!</v>
      </c>
    </row>
    <row r="1598" spans="18:18">
      <c r="R1598" s="137" t="e" cm="1">
        <f t="array" ref="R1598">_xlfn._xlws.FILTER(#REF!, E1598:P1598=MIN(E1598:P1598))</f>
        <v>#REF!</v>
      </c>
    </row>
    <row r="1599" spans="18:18">
      <c r="R1599" s="137" t="e" cm="1">
        <f t="array" ref="R1599">_xlfn._xlws.FILTER(#REF!, E1599:P1599=MIN(E1599:P1599))</f>
        <v>#REF!</v>
      </c>
    </row>
    <row r="1600" spans="18:18">
      <c r="R1600" s="137" t="e" cm="1">
        <f t="array" ref="R1600">_xlfn._xlws.FILTER(#REF!, E1600:P1600=MIN(E1600:P1600))</f>
        <v>#REF!</v>
      </c>
    </row>
    <row r="1601" spans="18:18">
      <c r="R1601" s="137" t="e" cm="1">
        <f t="array" ref="R1601">_xlfn._xlws.FILTER(#REF!, E1601:P1601=MIN(E1601:P1601))</f>
        <v>#REF!</v>
      </c>
    </row>
    <row r="1602" spans="18:18">
      <c r="R1602" s="137" t="e" cm="1">
        <f t="array" ref="R1602">_xlfn._xlws.FILTER(#REF!, E1602:P1602=MIN(E1602:P1602))</f>
        <v>#REF!</v>
      </c>
    </row>
    <row r="1603" spans="18:18">
      <c r="R1603" s="137" t="e" cm="1">
        <f t="array" ref="R1603">_xlfn._xlws.FILTER(#REF!, E1603:P1603=MIN(E1603:P1603))</f>
        <v>#REF!</v>
      </c>
    </row>
    <row r="1604" spans="18:18">
      <c r="R1604" s="137" t="e" cm="1">
        <f t="array" ref="R1604">_xlfn._xlws.FILTER(#REF!, E1604:P1604=MIN(E1604:P1604))</f>
        <v>#REF!</v>
      </c>
    </row>
    <row r="1605" spans="18:18">
      <c r="R1605" s="137" t="e" cm="1">
        <f t="array" ref="R1605">_xlfn._xlws.FILTER(#REF!, E1605:P1605=MIN(E1605:P1605))</f>
        <v>#REF!</v>
      </c>
    </row>
    <row r="1606" spans="18:18">
      <c r="R1606" s="137" t="e" cm="1">
        <f t="array" ref="R1606">_xlfn._xlws.FILTER(#REF!, E1606:P1606=MIN(E1606:P1606))</f>
        <v>#REF!</v>
      </c>
    </row>
    <row r="1607" spans="18:18">
      <c r="R1607" s="137" t="e" cm="1">
        <f t="array" ref="R1607">_xlfn._xlws.FILTER(#REF!, E1607:P1607=MIN(E1607:P1607))</f>
        <v>#REF!</v>
      </c>
    </row>
    <row r="1608" spans="18:18">
      <c r="R1608" s="137" t="e" cm="1">
        <f t="array" ref="R1608">_xlfn._xlws.FILTER(#REF!, E1608:P1608=MIN(E1608:P1608))</f>
        <v>#REF!</v>
      </c>
    </row>
    <row r="1609" spans="18:18">
      <c r="R1609" s="137" t="e" cm="1">
        <f t="array" ref="R1609">_xlfn._xlws.FILTER(#REF!, E1609:P1609=MIN(E1609:P1609))</f>
        <v>#REF!</v>
      </c>
    </row>
    <row r="1610" spans="18:18">
      <c r="R1610" s="137" t="e" cm="1">
        <f t="array" ref="R1610">_xlfn._xlws.FILTER(#REF!, E1610:P1610=MIN(E1610:P1610))</f>
        <v>#REF!</v>
      </c>
    </row>
    <row r="1611" spans="18:18">
      <c r="R1611" s="137" t="e" cm="1">
        <f t="array" ref="R1611">_xlfn._xlws.FILTER(#REF!, E1611:P1611=MIN(E1611:P1611))</f>
        <v>#REF!</v>
      </c>
    </row>
    <row r="1612" spans="18:18">
      <c r="R1612" s="137" t="e" cm="1">
        <f t="array" ref="R1612">_xlfn._xlws.FILTER(#REF!, E1612:P1612=MIN(E1612:P1612))</f>
        <v>#REF!</v>
      </c>
    </row>
    <row r="1613" spans="18:18">
      <c r="R1613" s="137" t="e" cm="1">
        <f t="array" ref="R1613">_xlfn._xlws.FILTER(#REF!, E1613:P1613=MIN(E1613:P1613))</f>
        <v>#REF!</v>
      </c>
    </row>
    <row r="1614" spans="18:18">
      <c r="R1614" s="137" t="e" cm="1">
        <f t="array" ref="R1614">_xlfn._xlws.FILTER(#REF!, E1614:P1614=MIN(E1614:P1614))</f>
        <v>#REF!</v>
      </c>
    </row>
    <row r="1615" spans="18:18">
      <c r="R1615" s="137" t="e" cm="1">
        <f t="array" ref="R1615">_xlfn._xlws.FILTER(#REF!, E1615:P1615=MIN(E1615:P1615))</f>
        <v>#REF!</v>
      </c>
    </row>
    <row r="1616" spans="18:18">
      <c r="R1616" s="137" t="e" cm="1">
        <f t="array" ref="R1616">_xlfn._xlws.FILTER(#REF!, E1616:P1616=MIN(E1616:P1616))</f>
        <v>#REF!</v>
      </c>
    </row>
    <row r="1617" spans="18:18">
      <c r="R1617" s="137" t="e" cm="1">
        <f t="array" ref="R1617">_xlfn._xlws.FILTER(#REF!, E1617:P1617=MIN(E1617:P1617))</f>
        <v>#REF!</v>
      </c>
    </row>
    <row r="1618" spans="18:18">
      <c r="R1618" s="137" t="e" cm="1">
        <f t="array" ref="R1618">_xlfn._xlws.FILTER(#REF!, E1618:P1618=MIN(E1618:P1618))</f>
        <v>#REF!</v>
      </c>
    </row>
    <row r="1619" spans="18:18">
      <c r="R1619" s="137" t="e" cm="1">
        <f t="array" ref="R1619">_xlfn._xlws.FILTER(#REF!, E1619:P1619=MIN(E1619:P1619))</f>
        <v>#REF!</v>
      </c>
    </row>
    <row r="1620" spans="18:18">
      <c r="R1620" s="137" t="e" cm="1">
        <f t="array" ref="R1620">_xlfn._xlws.FILTER(#REF!, E1620:P1620=MIN(E1620:P1620))</f>
        <v>#REF!</v>
      </c>
    </row>
    <row r="1621" spans="18:18">
      <c r="R1621" s="137" t="e" cm="1">
        <f t="array" ref="R1621">_xlfn._xlws.FILTER(#REF!, E1621:P1621=MIN(E1621:P1621))</f>
        <v>#REF!</v>
      </c>
    </row>
    <row r="1622" spans="18:18">
      <c r="R1622" s="137" t="e" cm="1">
        <f t="array" ref="R1622">_xlfn._xlws.FILTER(#REF!, E1622:P1622=MIN(E1622:P1622))</f>
        <v>#REF!</v>
      </c>
    </row>
    <row r="1623" spans="18:18">
      <c r="R1623" s="137" t="e" cm="1">
        <f t="array" ref="R1623">_xlfn._xlws.FILTER(#REF!, E1623:P1623=MIN(E1623:P1623))</f>
        <v>#REF!</v>
      </c>
    </row>
    <row r="1624" spans="18:18">
      <c r="R1624" s="137" t="e" cm="1">
        <f t="array" ref="R1624">_xlfn._xlws.FILTER(#REF!, E1624:P1624=MIN(E1624:P1624))</f>
        <v>#REF!</v>
      </c>
    </row>
    <row r="1625" spans="18:18">
      <c r="R1625" s="137" t="e" cm="1">
        <f t="array" ref="R1625">_xlfn._xlws.FILTER(#REF!, E1625:P1625=MIN(E1625:P1625))</f>
        <v>#REF!</v>
      </c>
    </row>
    <row r="1626" spans="18:18">
      <c r="R1626" s="137" t="e" cm="1">
        <f t="array" ref="R1626">_xlfn._xlws.FILTER(#REF!, E1626:P1626=MIN(E1626:P1626))</f>
        <v>#REF!</v>
      </c>
    </row>
    <row r="1627" spans="18:18">
      <c r="R1627" s="137" t="e" cm="1">
        <f t="array" ref="R1627">_xlfn._xlws.FILTER(#REF!, E1627:P1627=MIN(E1627:P1627))</f>
        <v>#REF!</v>
      </c>
    </row>
    <row r="1628" spans="18:18">
      <c r="R1628" s="137" t="e" cm="1">
        <f t="array" ref="R1628">_xlfn._xlws.FILTER(#REF!, E1628:P1628=MIN(E1628:P1628))</f>
        <v>#REF!</v>
      </c>
    </row>
    <row r="1629" spans="18:18">
      <c r="R1629" s="137" t="e" cm="1">
        <f t="array" ref="R1629">_xlfn._xlws.FILTER(#REF!, E1629:P1629=MIN(E1629:P1629))</f>
        <v>#REF!</v>
      </c>
    </row>
    <row r="1630" spans="18:18">
      <c r="R1630" s="137" t="e" cm="1">
        <f t="array" ref="R1630">_xlfn._xlws.FILTER(#REF!, E1630:P1630=MIN(E1630:P1630))</f>
        <v>#REF!</v>
      </c>
    </row>
    <row r="1631" spans="18:18">
      <c r="R1631" s="137" t="e" cm="1">
        <f t="array" ref="R1631">_xlfn._xlws.FILTER(#REF!, E1631:P1631=MIN(E1631:P1631))</f>
        <v>#REF!</v>
      </c>
    </row>
    <row r="1632" spans="18:18">
      <c r="R1632" s="137" t="e" cm="1">
        <f t="array" ref="R1632">_xlfn._xlws.FILTER(#REF!, E1632:P1632=MIN(E1632:P1632))</f>
        <v>#REF!</v>
      </c>
    </row>
    <row r="1633" spans="18:18">
      <c r="R1633" s="137" t="e" cm="1">
        <f t="array" ref="R1633">_xlfn._xlws.FILTER(#REF!, E1633:P1633=MIN(E1633:P1633))</f>
        <v>#REF!</v>
      </c>
    </row>
    <row r="1634" spans="18:18">
      <c r="R1634" s="137" t="e" cm="1">
        <f t="array" ref="R1634">_xlfn._xlws.FILTER(#REF!, E1634:P1634=MIN(E1634:P1634))</f>
        <v>#REF!</v>
      </c>
    </row>
    <row r="1635" spans="18:18">
      <c r="R1635" s="137" t="e" cm="1">
        <f t="array" ref="R1635">_xlfn._xlws.FILTER(#REF!, E1635:P1635=MIN(E1635:P1635))</f>
        <v>#REF!</v>
      </c>
    </row>
    <row r="1636" spans="18:18">
      <c r="R1636" s="137" t="e" cm="1">
        <f t="array" ref="R1636">_xlfn._xlws.FILTER(#REF!, E1636:P1636=MIN(E1636:P1636))</f>
        <v>#REF!</v>
      </c>
    </row>
    <row r="1637" spans="18:18">
      <c r="R1637" s="137" t="e" cm="1">
        <f t="array" ref="R1637">_xlfn._xlws.FILTER(#REF!, E1637:P1637=MIN(E1637:P1637))</f>
        <v>#REF!</v>
      </c>
    </row>
    <row r="1638" spans="18:18">
      <c r="R1638" s="137" t="e" cm="1">
        <f t="array" ref="R1638">_xlfn._xlws.FILTER(#REF!, E1638:P1638=MIN(E1638:P1638))</f>
        <v>#REF!</v>
      </c>
    </row>
    <row r="1639" spans="18:18">
      <c r="R1639" s="137" t="e" cm="1">
        <f t="array" ref="R1639">_xlfn._xlws.FILTER(#REF!, E1639:P1639=MIN(E1639:P1639))</f>
        <v>#REF!</v>
      </c>
    </row>
    <row r="1640" spans="18:18">
      <c r="R1640" s="137" t="e" cm="1">
        <f t="array" ref="R1640">_xlfn._xlws.FILTER(#REF!, E1640:P1640=MIN(E1640:P1640))</f>
        <v>#REF!</v>
      </c>
    </row>
    <row r="1641" spans="18:18">
      <c r="R1641" s="137" t="e" cm="1">
        <f t="array" ref="R1641">_xlfn._xlws.FILTER(#REF!, E1641:P1641=MIN(E1641:P1641))</f>
        <v>#REF!</v>
      </c>
    </row>
    <row r="1642" spans="18:18">
      <c r="R1642" s="137" t="e" cm="1">
        <f t="array" ref="R1642">_xlfn._xlws.FILTER(#REF!, E1642:P1642=MIN(E1642:P1642))</f>
        <v>#REF!</v>
      </c>
    </row>
    <row r="1643" spans="18:18">
      <c r="R1643" s="137" t="e" cm="1">
        <f t="array" ref="R1643">_xlfn._xlws.FILTER(#REF!, E1643:P1643=MIN(E1643:P1643))</f>
        <v>#REF!</v>
      </c>
    </row>
    <row r="1644" spans="18:18">
      <c r="R1644" s="137" t="e" cm="1">
        <f t="array" ref="R1644">_xlfn._xlws.FILTER(#REF!, E1644:P1644=MIN(E1644:P1644))</f>
        <v>#REF!</v>
      </c>
    </row>
    <row r="1645" spans="18:18">
      <c r="R1645" s="137" t="e" cm="1">
        <f t="array" ref="R1645">_xlfn._xlws.FILTER(#REF!, E1645:P1645=MIN(E1645:P1645))</f>
        <v>#REF!</v>
      </c>
    </row>
    <row r="1646" spans="18:18">
      <c r="R1646" s="137" t="e" cm="1">
        <f t="array" ref="R1646">_xlfn._xlws.FILTER(#REF!, E1646:P1646=MIN(E1646:P1646))</f>
        <v>#REF!</v>
      </c>
    </row>
    <row r="1647" spans="18:18">
      <c r="R1647" s="137" t="e" cm="1">
        <f t="array" ref="R1647">_xlfn._xlws.FILTER(#REF!, E1647:P1647=MIN(E1647:P1647))</f>
        <v>#REF!</v>
      </c>
    </row>
    <row r="1648" spans="18:18">
      <c r="R1648" s="137" t="e" cm="1">
        <f t="array" ref="R1648">_xlfn._xlws.FILTER(#REF!, E1648:P1648=MIN(E1648:P1648))</f>
        <v>#REF!</v>
      </c>
    </row>
    <row r="1649" spans="18:18">
      <c r="R1649" s="137" t="e" cm="1">
        <f t="array" ref="R1649">_xlfn._xlws.FILTER(#REF!, E1649:P1649=MIN(E1649:P1649))</f>
        <v>#REF!</v>
      </c>
    </row>
    <row r="1650" spans="18:18">
      <c r="R1650" s="137" t="e" cm="1">
        <f t="array" ref="R1650">_xlfn._xlws.FILTER(#REF!, E1650:P1650=MIN(E1650:P1650))</f>
        <v>#REF!</v>
      </c>
    </row>
    <row r="1651" spans="18:18">
      <c r="R1651" s="137" t="e" cm="1">
        <f t="array" ref="R1651">_xlfn._xlws.FILTER(#REF!, E1651:P1651=MIN(E1651:P1651))</f>
        <v>#REF!</v>
      </c>
    </row>
    <row r="1652" spans="18:18">
      <c r="R1652" s="137" t="e" cm="1">
        <f t="array" ref="R1652">_xlfn._xlws.FILTER(#REF!, E1652:P1652=MIN(E1652:P1652))</f>
        <v>#REF!</v>
      </c>
    </row>
    <row r="1653" spans="18:18">
      <c r="R1653" s="137" t="e" cm="1">
        <f t="array" ref="R1653">_xlfn._xlws.FILTER(#REF!, E1653:P1653=MIN(E1653:P1653))</f>
        <v>#REF!</v>
      </c>
    </row>
    <row r="1654" spans="18:18">
      <c r="R1654" s="137" t="e" cm="1">
        <f t="array" ref="R1654">_xlfn._xlws.FILTER(#REF!, E1654:P1654=MIN(E1654:P1654))</f>
        <v>#REF!</v>
      </c>
    </row>
    <row r="1655" spans="18:18">
      <c r="R1655" s="137" t="e" cm="1">
        <f t="array" ref="R1655">_xlfn._xlws.FILTER(#REF!, E1655:P1655=MIN(E1655:P1655))</f>
        <v>#REF!</v>
      </c>
    </row>
    <row r="1656" spans="18:18">
      <c r="R1656" s="137" t="e" cm="1">
        <f t="array" ref="R1656">_xlfn._xlws.FILTER(#REF!, E1656:P1656=MIN(E1656:P1656))</f>
        <v>#REF!</v>
      </c>
    </row>
    <row r="1657" spans="18:18">
      <c r="R1657" s="137" t="e" cm="1">
        <f t="array" ref="R1657">_xlfn._xlws.FILTER(#REF!, E1657:P1657=MIN(E1657:P1657))</f>
        <v>#REF!</v>
      </c>
    </row>
    <row r="1658" spans="18:18">
      <c r="R1658" s="137" t="e" cm="1">
        <f t="array" ref="R1658">_xlfn._xlws.FILTER(#REF!, E1658:P1658=MIN(E1658:P1658))</f>
        <v>#REF!</v>
      </c>
    </row>
    <row r="1659" spans="18:18">
      <c r="R1659" s="137" t="e" cm="1">
        <f t="array" ref="R1659">_xlfn._xlws.FILTER(#REF!, E1659:P1659=MIN(E1659:P1659))</f>
        <v>#REF!</v>
      </c>
    </row>
    <row r="1660" spans="18:18">
      <c r="R1660" s="137" t="e" cm="1">
        <f t="array" ref="R1660">_xlfn._xlws.FILTER(#REF!, E1660:P1660=MIN(E1660:P1660))</f>
        <v>#REF!</v>
      </c>
    </row>
    <row r="1661" spans="18:18">
      <c r="R1661" s="137" t="e" cm="1">
        <f t="array" ref="R1661">_xlfn._xlws.FILTER(#REF!, E1661:P1661=MIN(E1661:P1661))</f>
        <v>#REF!</v>
      </c>
    </row>
    <row r="1662" spans="18:18">
      <c r="R1662" s="137" t="e" cm="1">
        <f t="array" ref="R1662">_xlfn._xlws.FILTER(#REF!, E1662:P1662=MIN(E1662:P1662))</f>
        <v>#REF!</v>
      </c>
    </row>
    <row r="1663" spans="18:18">
      <c r="R1663" s="137" t="e" cm="1">
        <f t="array" ref="R1663">_xlfn._xlws.FILTER(#REF!, E1663:P1663=MIN(E1663:P1663))</f>
        <v>#REF!</v>
      </c>
    </row>
    <row r="1664" spans="18:18">
      <c r="R1664" s="137" t="e" cm="1">
        <f t="array" ref="R1664">_xlfn._xlws.FILTER(#REF!, E1664:P1664=MIN(E1664:P1664))</f>
        <v>#REF!</v>
      </c>
    </row>
    <row r="1665" spans="18:18">
      <c r="R1665" s="137" t="e" cm="1">
        <f t="array" ref="R1665">_xlfn._xlws.FILTER(#REF!, E1665:P1665=MIN(E1665:P1665))</f>
        <v>#REF!</v>
      </c>
    </row>
    <row r="1666" spans="18:18">
      <c r="R1666" s="137" t="e" cm="1">
        <f t="array" ref="R1666">_xlfn._xlws.FILTER(#REF!, E1666:P1666=MIN(E1666:P1666))</f>
        <v>#REF!</v>
      </c>
    </row>
    <row r="1667" spans="18:18">
      <c r="R1667" s="137" t="e" cm="1">
        <f t="array" ref="R1667">_xlfn._xlws.FILTER(#REF!, E1667:P1667=MIN(E1667:P1667))</f>
        <v>#REF!</v>
      </c>
    </row>
    <row r="1668" spans="18:18">
      <c r="R1668" s="137" t="e" cm="1">
        <f t="array" ref="R1668">_xlfn._xlws.FILTER(#REF!, E1668:P1668=MIN(E1668:P1668))</f>
        <v>#REF!</v>
      </c>
    </row>
    <row r="1669" spans="18:18">
      <c r="R1669" s="137" t="e" cm="1">
        <f t="array" ref="R1669">_xlfn._xlws.FILTER(#REF!, E1669:P1669=MIN(E1669:P1669))</f>
        <v>#REF!</v>
      </c>
    </row>
    <row r="1670" spans="18:18">
      <c r="R1670" s="137" t="e" cm="1">
        <f t="array" ref="R1670">_xlfn._xlws.FILTER(#REF!, E1670:P1670=MIN(E1670:P1670))</f>
        <v>#REF!</v>
      </c>
    </row>
    <row r="1671" spans="18:18">
      <c r="R1671" s="137" t="e" cm="1">
        <f t="array" ref="R1671">_xlfn._xlws.FILTER(#REF!, E1671:P1671=MIN(E1671:P1671))</f>
        <v>#REF!</v>
      </c>
    </row>
    <row r="1672" spans="18:18">
      <c r="R1672" s="137" t="e" cm="1">
        <f t="array" ref="R1672">_xlfn._xlws.FILTER(#REF!, E1672:P1672=MIN(E1672:P1672))</f>
        <v>#REF!</v>
      </c>
    </row>
    <row r="1673" spans="18:18">
      <c r="R1673" s="137" t="e" cm="1">
        <f t="array" ref="R1673">_xlfn._xlws.FILTER(#REF!, E1673:P1673=MIN(E1673:P1673))</f>
        <v>#REF!</v>
      </c>
    </row>
    <row r="1674" spans="18:18">
      <c r="R1674" s="137" t="e" cm="1">
        <f t="array" ref="R1674">_xlfn._xlws.FILTER(#REF!, E1674:P1674=MIN(E1674:P1674))</f>
        <v>#REF!</v>
      </c>
    </row>
    <row r="1675" spans="18:18">
      <c r="R1675" s="137" t="e" cm="1">
        <f t="array" ref="R1675">_xlfn._xlws.FILTER(#REF!, E1675:P1675=MIN(E1675:P1675))</f>
        <v>#REF!</v>
      </c>
    </row>
    <row r="1676" spans="18:18">
      <c r="R1676" s="137" t="e" cm="1">
        <f t="array" ref="R1676">_xlfn._xlws.FILTER(#REF!, E1676:P1676=MIN(E1676:P1676))</f>
        <v>#REF!</v>
      </c>
    </row>
    <row r="1677" spans="18:18">
      <c r="R1677" s="137" t="e" cm="1">
        <f t="array" ref="R1677">_xlfn._xlws.FILTER(#REF!, E1677:P1677=MIN(E1677:P1677))</f>
        <v>#REF!</v>
      </c>
    </row>
    <row r="1678" spans="18:18">
      <c r="R1678" s="137" t="e" cm="1">
        <f t="array" ref="R1678">_xlfn._xlws.FILTER(#REF!, E1678:P1678=MIN(E1678:P1678))</f>
        <v>#REF!</v>
      </c>
    </row>
    <row r="1679" spans="18:18">
      <c r="R1679" s="137" t="e" cm="1">
        <f t="array" ref="R1679">_xlfn._xlws.FILTER(#REF!, E1679:P1679=MIN(E1679:P1679))</f>
        <v>#REF!</v>
      </c>
    </row>
    <row r="1680" spans="18:18">
      <c r="R1680" s="137" t="e" cm="1">
        <f t="array" ref="R1680">_xlfn._xlws.FILTER(#REF!, E1680:P1680=MIN(E1680:P1680))</f>
        <v>#REF!</v>
      </c>
    </row>
    <row r="1681" spans="18:18">
      <c r="R1681" s="137" t="e" cm="1">
        <f t="array" ref="R1681">_xlfn._xlws.FILTER(#REF!, E1681:P1681=MIN(E1681:P1681))</f>
        <v>#REF!</v>
      </c>
    </row>
    <row r="1682" spans="18:18">
      <c r="R1682" s="137" t="e" cm="1">
        <f t="array" ref="R1682">_xlfn._xlws.FILTER(#REF!, E1682:P1682=MIN(E1682:P1682))</f>
        <v>#REF!</v>
      </c>
    </row>
    <row r="1683" spans="18:18">
      <c r="R1683" s="137" t="e" cm="1">
        <f t="array" ref="R1683">_xlfn._xlws.FILTER(#REF!, E1683:P1683=MIN(E1683:P1683))</f>
        <v>#REF!</v>
      </c>
    </row>
    <row r="1684" spans="18:18">
      <c r="R1684" s="137" t="e" cm="1">
        <f t="array" ref="R1684">_xlfn._xlws.FILTER(#REF!, E1684:P1684=MIN(E1684:P1684))</f>
        <v>#REF!</v>
      </c>
    </row>
    <row r="1685" spans="18:18">
      <c r="R1685" s="137" t="e" cm="1">
        <f t="array" ref="R1685">_xlfn._xlws.FILTER(#REF!, E1685:P1685=MIN(E1685:P1685))</f>
        <v>#REF!</v>
      </c>
    </row>
    <row r="1686" spans="18:18">
      <c r="R1686" s="137" t="e" cm="1">
        <f t="array" ref="R1686">_xlfn._xlws.FILTER(#REF!, E1686:P1686=MIN(E1686:P1686))</f>
        <v>#REF!</v>
      </c>
    </row>
    <row r="1687" spans="18:18">
      <c r="R1687" s="137" t="e" cm="1">
        <f t="array" ref="R1687">_xlfn._xlws.FILTER(#REF!, E1687:P1687=MIN(E1687:P1687))</f>
        <v>#REF!</v>
      </c>
    </row>
    <row r="1688" spans="18:18">
      <c r="R1688" s="137" t="e" cm="1">
        <f t="array" ref="R1688">_xlfn._xlws.FILTER(#REF!, E1688:P1688=MIN(E1688:P1688))</f>
        <v>#REF!</v>
      </c>
    </row>
    <row r="1689" spans="18:18">
      <c r="R1689" s="137" t="e" cm="1">
        <f t="array" ref="R1689">_xlfn._xlws.FILTER(#REF!, E1689:P1689=MIN(E1689:P1689))</f>
        <v>#REF!</v>
      </c>
    </row>
    <row r="1690" spans="18:18">
      <c r="R1690" s="137" t="e" cm="1">
        <f t="array" ref="R1690">_xlfn._xlws.FILTER(#REF!, E1690:P1690=MIN(E1690:P1690))</f>
        <v>#REF!</v>
      </c>
    </row>
    <row r="1691" spans="18:18">
      <c r="R1691" s="137" t="e" cm="1">
        <f t="array" ref="R1691">_xlfn._xlws.FILTER(#REF!, E1691:P1691=MIN(E1691:P1691))</f>
        <v>#REF!</v>
      </c>
    </row>
    <row r="1692" spans="18:18">
      <c r="R1692" s="137" t="e" cm="1">
        <f t="array" ref="R1692">_xlfn._xlws.FILTER(#REF!, E1692:P1692=MIN(E1692:P1692))</f>
        <v>#REF!</v>
      </c>
    </row>
    <row r="1693" spans="18:18">
      <c r="R1693" s="137" t="e" cm="1">
        <f t="array" ref="R1693">_xlfn._xlws.FILTER(#REF!, E1693:P1693=MIN(E1693:P1693))</f>
        <v>#REF!</v>
      </c>
    </row>
    <row r="1694" spans="18:18">
      <c r="R1694" s="137" t="e" cm="1">
        <f t="array" ref="R1694">_xlfn._xlws.FILTER(#REF!, E1694:P1694=MIN(E1694:P1694))</f>
        <v>#REF!</v>
      </c>
    </row>
    <row r="1695" spans="18:18">
      <c r="R1695" s="137" t="e" cm="1">
        <f t="array" ref="R1695">_xlfn._xlws.FILTER(#REF!, E1695:P1695=MIN(E1695:P1695))</f>
        <v>#REF!</v>
      </c>
    </row>
    <row r="1696" spans="18:18">
      <c r="R1696" s="137" t="e" cm="1">
        <f t="array" ref="R1696">_xlfn._xlws.FILTER(#REF!, E1696:P1696=MIN(E1696:P1696))</f>
        <v>#REF!</v>
      </c>
    </row>
    <row r="1697" spans="18:18">
      <c r="R1697" s="137" t="e" cm="1">
        <f t="array" ref="R1697">_xlfn._xlws.FILTER(#REF!, E1697:P1697=MIN(E1697:P1697))</f>
        <v>#REF!</v>
      </c>
    </row>
    <row r="1698" spans="18:18">
      <c r="R1698" s="137" t="e" cm="1">
        <f t="array" ref="R1698">_xlfn._xlws.FILTER(#REF!, E1698:P1698=MIN(E1698:P1698))</f>
        <v>#REF!</v>
      </c>
    </row>
    <row r="1699" spans="18:18">
      <c r="R1699" s="137" t="e" cm="1">
        <f t="array" ref="R1699">_xlfn._xlws.FILTER(#REF!, E1699:P1699=MIN(E1699:P1699))</f>
        <v>#REF!</v>
      </c>
    </row>
    <row r="1700" spans="18:18">
      <c r="R1700" s="137" t="e" cm="1">
        <f t="array" ref="R1700">_xlfn._xlws.FILTER(#REF!, E1700:P1700=MIN(E1700:P1700))</f>
        <v>#REF!</v>
      </c>
    </row>
    <row r="1701" spans="18:18">
      <c r="R1701" s="137" t="e" cm="1">
        <f t="array" ref="R1701">_xlfn._xlws.FILTER(#REF!, E1701:P1701=MIN(E1701:P1701))</f>
        <v>#REF!</v>
      </c>
    </row>
    <row r="1702" spans="18:18">
      <c r="R1702" s="137" t="e" cm="1">
        <f t="array" ref="R1702">_xlfn._xlws.FILTER(#REF!, E1702:P1702=MIN(E1702:P1702))</f>
        <v>#REF!</v>
      </c>
    </row>
    <row r="1703" spans="18:18">
      <c r="R1703" s="137" t="e" cm="1">
        <f t="array" ref="R1703">_xlfn._xlws.FILTER(#REF!, E1703:P1703=MIN(E1703:P1703))</f>
        <v>#REF!</v>
      </c>
    </row>
    <row r="1704" spans="18:18">
      <c r="R1704" s="137" t="e" cm="1">
        <f t="array" ref="R1704">_xlfn._xlws.FILTER(#REF!, E1704:P1704=MIN(E1704:P1704))</f>
        <v>#REF!</v>
      </c>
    </row>
    <row r="1705" spans="18:18">
      <c r="R1705" s="137" t="e" cm="1">
        <f t="array" ref="R1705">_xlfn._xlws.FILTER(#REF!, E1705:P1705=MIN(E1705:P1705))</f>
        <v>#REF!</v>
      </c>
    </row>
    <row r="1706" spans="18:18">
      <c r="R1706" s="137" t="e" cm="1">
        <f t="array" ref="R1706">_xlfn._xlws.FILTER(#REF!, E1706:P1706=MIN(E1706:P1706))</f>
        <v>#REF!</v>
      </c>
    </row>
    <row r="1707" spans="18:18">
      <c r="R1707" s="137" t="e" cm="1">
        <f t="array" ref="R1707">_xlfn._xlws.FILTER(#REF!, E1707:P1707=MIN(E1707:P1707))</f>
        <v>#REF!</v>
      </c>
    </row>
    <row r="1708" spans="18:18">
      <c r="R1708" s="137" t="e" cm="1">
        <f t="array" ref="R1708">_xlfn._xlws.FILTER(#REF!, E1708:P1708=MIN(E1708:P1708))</f>
        <v>#REF!</v>
      </c>
    </row>
    <row r="1709" spans="18:18">
      <c r="R1709" s="137" t="e" cm="1">
        <f t="array" ref="R1709">_xlfn._xlws.FILTER(#REF!, E1709:P1709=MIN(E1709:P1709))</f>
        <v>#REF!</v>
      </c>
    </row>
    <row r="1710" spans="18:18">
      <c r="R1710" s="137" t="e" cm="1">
        <f t="array" ref="R1710">_xlfn._xlws.FILTER(#REF!, E1710:P1710=MIN(E1710:P1710))</f>
        <v>#REF!</v>
      </c>
    </row>
    <row r="1711" spans="18:18">
      <c r="R1711" s="137" t="e" cm="1">
        <f t="array" ref="R1711">_xlfn._xlws.FILTER(#REF!, E1711:P1711=MIN(E1711:P1711))</f>
        <v>#REF!</v>
      </c>
    </row>
    <row r="1712" spans="18:18">
      <c r="R1712" s="137" t="e" cm="1">
        <f t="array" ref="R1712">_xlfn._xlws.FILTER(#REF!, E1712:P1712=MIN(E1712:P1712))</f>
        <v>#REF!</v>
      </c>
    </row>
    <row r="1713" spans="18:18">
      <c r="R1713" s="137" t="e" cm="1">
        <f t="array" ref="R1713">_xlfn._xlws.FILTER(#REF!, E1713:P1713=MIN(E1713:P1713))</f>
        <v>#REF!</v>
      </c>
    </row>
    <row r="1714" spans="18:18">
      <c r="R1714" s="137" t="e" cm="1">
        <f t="array" ref="R1714">_xlfn._xlws.FILTER(#REF!, E1714:P1714=MIN(E1714:P1714))</f>
        <v>#REF!</v>
      </c>
    </row>
    <row r="1715" spans="18:18">
      <c r="R1715" s="137" t="e" cm="1">
        <f t="array" ref="R1715">_xlfn._xlws.FILTER(#REF!, E1715:P1715=MIN(E1715:P1715))</f>
        <v>#REF!</v>
      </c>
    </row>
    <row r="1716" spans="18:18">
      <c r="R1716" s="137" t="e" cm="1">
        <f t="array" ref="R1716">_xlfn._xlws.FILTER(#REF!, E1716:P1716=MIN(E1716:P1716))</f>
        <v>#REF!</v>
      </c>
    </row>
    <row r="1717" spans="18:18">
      <c r="R1717" s="137" t="e" cm="1">
        <f t="array" ref="R1717">_xlfn._xlws.FILTER(#REF!, E1717:P1717=MIN(E1717:P1717))</f>
        <v>#REF!</v>
      </c>
    </row>
    <row r="1718" spans="18:18">
      <c r="R1718" s="137" t="e" cm="1">
        <f t="array" ref="R1718">_xlfn._xlws.FILTER(#REF!, E1718:P1718=MIN(E1718:P1718))</f>
        <v>#REF!</v>
      </c>
    </row>
    <row r="1719" spans="18:18">
      <c r="R1719" s="137" t="e" cm="1">
        <f t="array" ref="R1719">_xlfn._xlws.FILTER(#REF!, E1719:P1719=MIN(E1719:P1719))</f>
        <v>#REF!</v>
      </c>
    </row>
    <row r="1720" spans="18:18">
      <c r="R1720" s="137" t="e" cm="1">
        <f t="array" ref="R1720">_xlfn._xlws.FILTER(#REF!, E1720:P1720=MIN(E1720:P1720))</f>
        <v>#REF!</v>
      </c>
    </row>
    <row r="1721" spans="18:18">
      <c r="R1721" s="137" t="e" cm="1">
        <f t="array" ref="R1721">_xlfn._xlws.FILTER(#REF!, E1721:P1721=MIN(E1721:P1721))</f>
        <v>#REF!</v>
      </c>
    </row>
    <row r="1722" spans="18:18">
      <c r="R1722" s="137" t="e" cm="1">
        <f t="array" ref="R1722">_xlfn._xlws.FILTER(#REF!, E1722:P1722=MIN(E1722:P1722))</f>
        <v>#REF!</v>
      </c>
    </row>
    <row r="1723" spans="18:18">
      <c r="R1723" s="137" t="e" cm="1">
        <f t="array" ref="R1723">_xlfn._xlws.FILTER(#REF!, E1723:P1723=MIN(E1723:P1723))</f>
        <v>#REF!</v>
      </c>
    </row>
    <row r="1724" spans="18:18">
      <c r="R1724" s="137" t="e" cm="1">
        <f t="array" ref="R1724">_xlfn._xlws.FILTER(#REF!, E1724:P1724=MIN(E1724:P1724))</f>
        <v>#REF!</v>
      </c>
    </row>
    <row r="1725" spans="18:18">
      <c r="R1725" s="137" t="e" cm="1">
        <f t="array" ref="R1725">_xlfn._xlws.FILTER(#REF!, E1725:P1725=MIN(E1725:P1725))</f>
        <v>#REF!</v>
      </c>
    </row>
    <row r="1726" spans="18:18">
      <c r="R1726" s="137" t="e" cm="1">
        <f t="array" ref="R1726">_xlfn._xlws.FILTER(#REF!, E1726:P1726=MIN(E1726:P1726))</f>
        <v>#REF!</v>
      </c>
    </row>
    <row r="1727" spans="18:18">
      <c r="R1727" s="137" t="e" cm="1">
        <f t="array" ref="R1727">_xlfn._xlws.FILTER(#REF!, E1727:P1727=MIN(E1727:P1727))</f>
        <v>#REF!</v>
      </c>
    </row>
    <row r="1728" spans="18:18">
      <c r="R1728" s="137" t="e" cm="1">
        <f t="array" ref="R1728">_xlfn._xlws.FILTER(#REF!, E1728:P1728=MIN(E1728:P1728))</f>
        <v>#REF!</v>
      </c>
    </row>
    <row r="1729" spans="18:18">
      <c r="R1729" s="137" t="e" cm="1">
        <f t="array" ref="R1729">_xlfn._xlws.FILTER(#REF!, E1729:P1729=MIN(E1729:P1729))</f>
        <v>#REF!</v>
      </c>
    </row>
    <row r="1730" spans="18:18">
      <c r="R1730" s="137" t="e" cm="1">
        <f t="array" ref="R1730">_xlfn._xlws.FILTER(#REF!, E1730:P1730=MIN(E1730:P1730))</f>
        <v>#REF!</v>
      </c>
    </row>
    <row r="1731" spans="18:18">
      <c r="R1731" s="137" t="e" cm="1">
        <f t="array" ref="R1731">_xlfn._xlws.FILTER(#REF!, E1731:P1731=MIN(E1731:P1731))</f>
        <v>#REF!</v>
      </c>
    </row>
    <row r="1732" spans="18:18">
      <c r="R1732" s="137" t="e" cm="1">
        <f t="array" ref="R1732">_xlfn._xlws.FILTER(#REF!, E1732:P1732=MIN(E1732:P1732))</f>
        <v>#REF!</v>
      </c>
    </row>
    <row r="1733" spans="18:18">
      <c r="R1733" s="137" t="e" cm="1">
        <f t="array" ref="R1733">_xlfn._xlws.FILTER(#REF!, E1733:P1733=MIN(E1733:P1733))</f>
        <v>#REF!</v>
      </c>
    </row>
    <row r="1734" spans="18:18">
      <c r="R1734" s="137" t="e" cm="1">
        <f t="array" ref="R1734">_xlfn._xlws.FILTER(#REF!, E1734:P1734=MIN(E1734:P1734))</f>
        <v>#REF!</v>
      </c>
    </row>
    <row r="1735" spans="18:18">
      <c r="R1735" s="137" t="e" cm="1">
        <f t="array" ref="R1735">_xlfn._xlws.FILTER(#REF!, E1735:P1735=MIN(E1735:P1735))</f>
        <v>#REF!</v>
      </c>
    </row>
    <row r="1736" spans="18:18">
      <c r="R1736" s="137" t="e" cm="1">
        <f t="array" ref="R1736">_xlfn._xlws.FILTER(#REF!, E1736:P1736=MIN(E1736:P1736))</f>
        <v>#REF!</v>
      </c>
    </row>
    <row r="1737" spans="18:18">
      <c r="R1737" s="137" t="e" cm="1">
        <f t="array" ref="R1737">_xlfn._xlws.FILTER(#REF!, E1737:P1737=MIN(E1737:P1737))</f>
        <v>#REF!</v>
      </c>
    </row>
    <row r="1738" spans="18:18">
      <c r="R1738" s="137" t="e" cm="1">
        <f t="array" ref="R1738">_xlfn._xlws.FILTER(#REF!, E1738:P1738=MIN(E1738:P1738))</f>
        <v>#REF!</v>
      </c>
    </row>
    <row r="1739" spans="18:18">
      <c r="R1739" s="137" t="e" cm="1">
        <f t="array" ref="R1739">_xlfn._xlws.FILTER(#REF!, E1739:P1739=MIN(E1739:P1739))</f>
        <v>#REF!</v>
      </c>
    </row>
    <row r="1740" spans="18:18">
      <c r="R1740" s="137" t="e" cm="1">
        <f t="array" ref="R1740">_xlfn._xlws.FILTER(#REF!, E1740:P1740=MIN(E1740:P1740))</f>
        <v>#REF!</v>
      </c>
    </row>
    <row r="1741" spans="18:18">
      <c r="R1741" s="137" t="e" cm="1">
        <f t="array" ref="R1741">_xlfn._xlws.FILTER(#REF!, E1741:P1741=MIN(E1741:P1741))</f>
        <v>#REF!</v>
      </c>
    </row>
    <row r="1742" spans="18:18">
      <c r="R1742" s="137" t="e" cm="1">
        <f t="array" ref="R1742">_xlfn._xlws.FILTER(#REF!, E1742:P1742=MIN(E1742:P1742))</f>
        <v>#REF!</v>
      </c>
    </row>
    <row r="1743" spans="18:18">
      <c r="R1743" s="137" t="e" cm="1">
        <f t="array" ref="R1743">_xlfn._xlws.FILTER(#REF!, E1743:P1743=MIN(E1743:P1743))</f>
        <v>#REF!</v>
      </c>
    </row>
    <row r="1744" spans="18:18">
      <c r="R1744" s="137" t="e" cm="1">
        <f t="array" ref="R1744">_xlfn._xlws.FILTER(#REF!, E1744:P1744=MIN(E1744:P1744))</f>
        <v>#REF!</v>
      </c>
    </row>
    <row r="1745" spans="18:18">
      <c r="R1745" s="137" t="e" cm="1">
        <f t="array" ref="R1745">_xlfn._xlws.FILTER(#REF!, E1745:P1745=MIN(E1745:P1745))</f>
        <v>#REF!</v>
      </c>
    </row>
    <row r="1746" spans="18:18">
      <c r="R1746" s="137" t="e" cm="1">
        <f t="array" ref="R1746">_xlfn._xlws.FILTER(#REF!, E1746:P1746=MIN(E1746:P1746))</f>
        <v>#REF!</v>
      </c>
    </row>
    <row r="1747" spans="18:18">
      <c r="R1747" s="137" t="e" cm="1">
        <f t="array" ref="R1747">_xlfn._xlws.FILTER(#REF!, E1747:P1747=MIN(E1747:P1747))</f>
        <v>#REF!</v>
      </c>
    </row>
    <row r="1748" spans="18:18">
      <c r="R1748" s="137" t="e" cm="1">
        <f t="array" ref="R1748">_xlfn._xlws.FILTER(#REF!, E1748:P1748=MIN(E1748:P1748))</f>
        <v>#REF!</v>
      </c>
    </row>
    <row r="1749" spans="18:18">
      <c r="R1749" s="137" t="e" cm="1">
        <f t="array" ref="R1749">_xlfn._xlws.FILTER(#REF!, E1749:P1749=MIN(E1749:P1749))</f>
        <v>#REF!</v>
      </c>
    </row>
    <row r="1750" spans="18:18">
      <c r="R1750" s="137" t="e" cm="1">
        <f t="array" ref="R1750">_xlfn._xlws.FILTER(#REF!, E1750:P1750=MIN(E1750:P1750))</f>
        <v>#REF!</v>
      </c>
    </row>
    <row r="1751" spans="18:18">
      <c r="R1751" s="137" t="e" cm="1">
        <f t="array" ref="R1751">_xlfn._xlws.FILTER(#REF!, E1751:P1751=MIN(E1751:P1751))</f>
        <v>#REF!</v>
      </c>
    </row>
    <row r="1752" spans="18:18">
      <c r="R1752" s="137" t="e" cm="1">
        <f t="array" ref="R1752">_xlfn._xlws.FILTER(#REF!, E1752:P1752=MIN(E1752:P1752))</f>
        <v>#REF!</v>
      </c>
    </row>
    <row r="1753" spans="18:18">
      <c r="R1753" s="137" t="e" cm="1">
        <f t="array" ref="R1753">_xlfn._xlws.FILTER(#REF!, E1753:P1753=MIN(E1753:P1753))</f>
        <v>#REF!</v>
      </c>
    </row>
    <row r="1754" spans="18:18">
      <c r="R1754" s="137" t="e" cm="1">
        <f t="array" ref="R1754">_xlfn._xlws.FILTER(#REF!, E1754:P1754=MIN(E1754:P1754))</f>
        <v>#REF!</v>
      </c>
    </row>
    <row r="1755" spans="18:18">
      <c r="R1755" s="137" t="e" cm="1">
        <f t="array" ref="R1755">_xlfn._xlws.FILTER(#REF!, E1755:P1755=MIN(E1755:P1755))</f>
        <v>#REF!</v>
      </c>
    </row>
    <row r="1756" spans="18:18">
      <c r="R1756" s="137" t="e" cm="1">
        <f t="array" ref="R1756">_xlfn._xlws.FILTER(#REF!, E1756:P1756=MIN(E1756:P1756))</f>
        <v>#REF!</v>
      </c>
    </row>
    <row r="1757" spans="18:18">
      <c r="R1757" s="137" t="e" cm="1">
        <f t="array" ref="R1757">_xlfn._xlws.FILTER(#REF!, E1757:P1757=MIN(E1757:P1757))</f>
        <v>#REF!</v>
      </c>
    </row>
    <row r="1758" spans="18:18">
      <c r="R1758" s="137" t="e" cm="1">
        <f t="array" ref="R1758">_xlfn._xlws.FILTER(#REF!, E1758:P1758=MIN(E1758:P1758))</f>
        <v>#REF!</v>
      </c>
    </row>
    <row r="1759" spans="18:18">
      <c r="R1759" s="137" t="e" cm="1">
        <f t="array" ref="R1759">_xlfn._xlws.FILTER(#REF!, E1759:P1759=MIN(E1759:P1759))</f>
        <v>#REF!</v>
      </c>
    </row>
    <row r="1760" spans="18:18">
      <c r="R1760" s="137" t="e" cm="1">
        <f t="array" ref="R1760">_xlfn._xlws.FILTER(#REF!, E1760:P1760=MIN(E1760:P1760))</f>
        <v>#REF!</v>
      </c>
    </row>
    <row r="1761" spans="18:18">
      <c r="R1761" s="137" t="e" cm="1">
        <f t="array" ref="R1761">_xlfn._xlws.FILTER(#REF!, E1761:P1761=MIN(E1761:P1761))</f>
        <v>#REF!</v>
      </c>
    </row>
    <row r="1762" spans="18:18">
      <c r="R1762" s="137" t="e" cm="1">
        <f t="array" ref="R1762">_xlfn._xlws.FILTER(#REF!, E1762:P1762=MIN(E1762:P1762))</f>
        <v>#REF!</v>
      </c>
    </row>
    <row r="1763" spans="18:18">
      <c r="R1763" s="137" t="e" cm="1">
        <f t="array" ref="R1763">_xlfn._xlws.FILTER(#REF!, E1763:P1763=MIN(E1763:P1763))</f>
        <v>#REF!</v>
      </c>
    </row>
    <row r="1764" spans="18:18">
      <c r="R1764" s="137" t="e" cm="1">
        <f t="array" ref="R1764">_xlfn._xlws.FILTER(#REF!, E1764:P1764=MIN(E1764:P1764))</f>
        <v>#REF!</v>
      </c>
    </row>
    <row r="1765" spans="18:18">
      <c r="R1765" s="137" t="e" cm="1">
        <f t="array" ref="R1765">_xlfn._xlws.FILTER(#REF!, E1765:P1765=MIN(E1765:P1765))</f>
        <v>#REF!</v>
      </c>
    </row>
    <row r="1766" spans="18:18">
      <c r="R1766" s="137" t="e" cm="1">
        <f t="array" ref="R1766">_xlfn._xlws.FILTER(#REF!, E1766:P1766=MIN(E1766:P1766))</f>
        <v>#REF!</v>
      </c>
    </row>
    <row r="1767" spans="18:18">
      <c r="R1767" s="137" t="e" cm="1">
        <f t="array" ref="R1767">_xlfn._xlws.FILTER(#REF!, E1767:P1767=MIN(E1767:P1767))</f>
        <v>#REF!</v>
      </c>
    </row>
    <row r="1768" spans="18:18">
      <c r="R1768" s="137" t="e" cm="1">
        <f t="array" ref="R1768">_xlfn._xlws.FILTER(#REF!, E1768:P1768=MIN(E1768:P1768))</f>
        <v>#REF!</v>
      </c>
    </row>
    <row r="1769" spans="18:18">
      <c r="R1769" s="137" t="e" cm="1">
        <f t="array" ref="R1769">_xlfn._xlws.FILTER(#REF!, E1769:P1769=MIN(E1769:P1769))</f>
        <v>#REF!</v>
      </c>
    </row>
    <row r="1770" spans="18:18">
      <c r="R1770" s="137" t="e" cm="1">
        <f t="array" ref="R1770">_xlfn._xlws.FILTER(#REF!, E1770:P1770=MIN(E1770:P1770))</f>
        <v>#REF!</v>
      </c>
    </row>
    <row r="1771" spans="18:18">
      <c r="R1771" s="137" t="e" cm="1">
        <f t="array" ref="R1771">_xlfn._xlws.FILTER(#REF!, E1771:P1771=MIN(E1771:P1771))</f>
        <v>#REF!</v>
      </c>
    </row>
    <row r="1772" spans="18:18">
      <c r="R1772" s="137" t="e" cm="1">
        <f t="array" ref="R1772">_xlfn._xlws.FILTER(#REF!, E1772:P1772=MIN(E1772:P1772))</f>
        <v>#REF!</v>
      </c>
    </row>
    <row r="1773" spans="18:18">
      <c r="R1773" s="137" t="e" cm="1">
        <f t="array" ref="R1773">_xlfn._xlws.FILTER(#REF!, E1773:P1773=MIN(E1773:P1773))</f>
        <v>#REF!</v>
      </c>
    </row>
    <row r="1774" spans="18:18">
      <c r="R1774" s="137" t="e" cm="1">
        <f t="array" ref="R1774">_xlfn._xlws.FILTER(#REF!, E1774:P1774=MIN(E1774:P1774))</f>
        <v>#REF!</v>
      </c>
    </row>
    <row r="1775" spans="18:18">
      <c r="R1775" s="137" t="e" cm="1">
        <f t="array" ref="R1775">_xlfn._xlws.FILTER(#REF!, E1775:P1775=MIN(E1775:P1775))</f>
        <v>#REF!</v>
      </c>
    </row>
    <row r="1776" spans="18:18">
      <c r="R1776" s="137" t="e" cm="1">
        <f t="array" ref="R1776">_xlfn._xlws.FILTER(#REF!, E1776:P1776=MIN(E1776:P1776))</f>
        <v>#REF!</v>
      </c>
    </row>
    <row r="1777" spans="18:18">
      <c r="R1777" s="137" t="e" cm="1">
        <f t="array" ref="R1777">_xlfn._xlws.FILTER(#REF!, E1777:P1777=MIN(E1777:P1777))</f>
        <v>#REF!</v>
      </c>
    </row>
    <row r="1778" spans="18:18">
      <c r="R1778" s="137" t="e" cm="1">
        <f t="array" ref="R1778">_xlfn._xlws.FILTER(#REF!, E1778:P1778=MIN(E1778:P1778))</f>
        <v>#REF!</v>
      </c>
    </row>
    <row r="1779" spans="18:18">
      <c r="R1779" s="137" t="e" cm="1">
        <f t="array" ref="R1779">_xlfn._xlws.FILTER(#REF!, E1779:P1779=MIN(E1779:P1779))</f>
        <v>#REF!</v>
      </c>
    </row>
    <row r="1780" spans="18:18">
      <c r="R1780" s="137" t="e" cm="1">
        <f t="array" ref="R1780">_xlfn._xlws.FILTER(#REF!, E1780:P1780=MIN(E1780:P1780))</f>
        <v>#REF!</v>
      </c>
    </row>
    <row r="1781" spans="18:18">
      <c r="R1781" s="137" t="e" cm="1">
        <f t="array" ref="R1781">_xlfn._xlws.FILTER(#REF!, E1781:P1781=MIN(E1781:P1781))</f>
        <v>#REF!</v>
      </c>
    </row>
    <row r="1782" spans="18:18">
      <c r="R1782" s="137" t="e" cm="1">
        <f t="array" ref="R1782">_xlfn._xlws.FILTER(#REF!, E1782:P1782=MIN(E1782:P1782))</f>
        <v>#REF!</v>
      </c>
    </row>
    <row r="1783" spans="18:18">
      <c r="R1783" s="137" t="e" cm="1">
        <f t="array" ref="R1783">_xlfn._xlws.FILTER(#REF!, E1783:P1783=MIN(E1783:P1783))</f>
        <v>#REF!</v>
      </c>
    </row>
    <row r="1784" spans="18:18">
      <c r="R1784" s="137" t="e" cm="1">
        <f t="array" ref="R1784">_xlfn._xlws.FILTER(#REF!, E1784:P1784=MIN(E1784:P1784))</f>
        <v>#REF!</v>
      </c>
    </row>
    <row r="1785" spans="18:18">
      <c r="R1785" s="137" t="e" cm="1">
        <f t="array" ref="R1785">_xlfn._xlws.FILTER(#REF!, E1785:P1785=MIN(E1785:P1785))</f>
        <v>#REF!</v>
      </c>
    </row>
    <row r="1786" spans="18:18">
      <c r="R1786" s="137" t="e" cm="1">
        <f t="array" ref="R1786">_xlfn._xlws.FILTER(#REF!, E1786:P1786=MIN(E1786:P1786))</f>
        <v>#REF!</v>
      </c>
    </row>
    <row r="1787" spans="18:18">
      <c r="R1787" s="137" t="e" cm="1">
        <f t="array" ref="R1787">_xlfn._xlws.FILTER(#REF!, E1787:P1787=MIN(E1787:P1787))</f>
        <v>#REF!</v>
      </c>
    </row>
    <row r="1788" spans="18:18">
      <c r="R1788" s="137" t="e" cm="1">
        <f t="array" ref="R1788">_xlfn._xlws.FILTER(#REF!, E1788:P1788=MIN(E1788:P1788))</f>
        <v>#REF!</v>
      </c>
    </row>
    <row r="1789" spans="18:18">
      <c r="R1789" s="137" t="e" cm="1">
        <f t="array" ref="R1789">_xlfn._xlws.FILTER(#REF!, E1789:P1789=MIN(E1789:P1789))</f>
        <v>#REF!</v>
      </c>
    </row>
    <row r="1790" spans="18:18">
      <c r="R1790" s="137" t="e" cm="1">
        <f t="array" ref="R1790">_xlfn._xlws.FILTER(#REF!, E1790:P1790=MIN(E1790:P1790))</f>
        <v>#REF!</v>
      </c>
    </row>
    <row r="1791" spans="18:18">
      <c r="R1791" s="137" t="e" cm="1">
        <f t="array" ref="R1791">_xlfn._xlws.FILTER(#REF!, E1791:P1791=MIN(E1791:P1791))</f>
        <v>#REF!</v>
      </c>
    </row>
    <row r="1792" spans="18:18">
      <c r="R1792" s="137" t="e" cm="1">
        <f t="array" ref="R1792">_xlfn._xlws.FILTER(#REF!, E1792:P1792=MIN(E1792:P1792))</f>
        <v>#REF!</v>
      </c>
    </row>
    <row r="1793" spans="18:18">
      <c r="R1793" s="137" t="e" cm="1">
        <f t="array" ref="R1793">_xlfn._xlws.FILTER(#REF!, E1793:P1793=MIN(E1793:P1793))</f>
        <v>#REF!</v>
      </c>
    </row>
    <row r="1794" spans="18:18">
      <c r="R1794" s="137" t="e" cm="1">
        <f t="array" ref="R1794">_xlfn._xlws.FILTER(#REF!, E1794:P1794=MIN(E1794:P1794))</f>
        <v>#REF!</v>
      </c>
    </row>
    <row r="1795" spans="18:18">
      <c r="R1795" s="137" t="e" cm="1">
        <f t="array" ref="R1795">_xlfn._xlws.FILTER(#REF!, E1795:P1795=MIN(E1795:P1795))</f>
        <v>#REF!</v>
      </c>
    </row>
    <row r="1796" spans="18:18">
      <c r="R1796" s="137" t="e" cm="1">
        <f t="array" ref="R1796">_xlfn._xlws.FILTER(#REF!, E1796:P1796=MIN(E1796:P1796))</f>
        <v>#REF!</v>
      </c>
    </row>
    <row r="1797" spans="18:18">
      <c r="R1797" s="137" t="e" cm="1">
        <f t="array" ref="R1797">_xlfn._xlws.FILTER(#REF!, E1797:P1797=MIN(E1797:P1797))</f>
        <v>#REF!</v>
      </c>
    </row>
    <row r="1798" spans="18:18">
      <c r="R1798" s="137" t="e" cm="1">
        <f t="array" ref="R1798">_xlfn._xlws.FILTER(#REF!, E1798:P1798=MIN(E1798:P1798))</f>
        <v>#REF!</v>
      </c>
    </row>
    <row r="1799" spans="18:18">
      <c r="R1799" s="137" t="e" cm="1">
        <f t="array" ref="R1799">_xlfn._xlws.FILTER(#REF!, E1799:P1799=MIN(E1799:P1799))</f>
        <v>#REF!</v>
      </c>
    </row>
    <row r="1800" spans="18:18">
      <c r="R1800" s="137" t="e" cm="1">
        <f t="array" ref="R1800">_xlfn._xlws.FILTER(#REF!, E1800:P1800=MIN(E1800:P1800))</f>
        <v>#REF!</v>
      </c>
    </row>
    <row r="1801" spans="18:18">
      <c r="R1801" s="137" t="e" cm="1">
        <f t="array" ref="R1801">_xlfn._xlws.FILTER(#REF!, E1801:P1801=MIN(E1801:P1801))</f>
        <v>#REF!</v>
      </c>
    </row>
    <row r="1802" spans="18:18">
      <c r="R1802" s="137" t="e" cm="1">
        <f t="array" ref="R1802">_xlfn._xlws.FILTER(#REF!, E1802:P1802=MIN(E1802:P1802))</f>
        <v>#REF!</v>
      </c>
    </row>
    <row r="1803" spans="18:18">
      <c r="R1803" s="137" t="e" cm="1">
        <f t="array" ref="R1803">_xlfn._xlws.FILTER(#REF!, E1803:P1803=MIN(E1803:P1803))</f>
        <v>#REF!</v>
      </c>
    </row>
    <row r="1804" spans="18:18">
      <c r="R1804" s="137" t="e" cm="1">
        <f t="array" ref="R1804">_xlfn._xlws.FILTER(#REF!, E1804:P1804=MIN(E1804:P1804))</f>
        <v>#REF!</v>
      </c>
    </row>
    <row r="1805" spans="18:18">
      <c r="R1805" s="137" t="e" cm="1">
        <f t="array" ref="R1805">_xlfn._xlws.FILTER(#REF!, E1805:P1805=MIN(E1805:P1805))</f>
        <v>#REF!</v>
      </c>
    </row>
    <row r="1806" spans="18:18">
      <c r="R1806" s="137" t="e" cm="1">
        <f t="array" ref="R1806">_xlfn._xlws.FILTER(#REF!, E1806:P1806=MIN(E1806:P1806))</f>
        <v>#REF!</v>
      </c>
    </row>
    <row r="1807" spans="18:18">
      <c r="R1807" s="137" t="e" cm="1">
        <f t="array" ref="R1807">_xlfn._xlws.FILTER(#REF!, E1807:P1807=MIN(E1807:P1807))</f>
        <v>#REF!</v>
      </c>
    </row>
    <row r="1808" spans="18:18">
      <c r="R1808" s="137" t="e" cm="1">
        <f t="array" ref="R1808">_xlfn._xlws.FILTER(#REF!, E1808:P1808=MIN(E1808:P1808))</f>
        <v>#REF!</v>
      </c>
    </row>
    <row r="1809" spans="18:18">
      <c r="R1809" s="137" t="e" cm="1">
        <f t="array" ref="R1809">_xlfn._xlws.FILTER(#REF!, E1809:P1809=MIN(E1809:P1809))</f>
        <v>#REF!</v>
      </c>
    </row>
    <row r="1810" spans="18:18">
      <c r="R1810" s="137" t="e" cm="1">
        <f t="array" ref="R1810">_xlfn._xlws.FILTER(#REF!, E1810:P1810=MIN(E1810:P1810))</f>
        <v>#REF!</v>
      </c>
    </row>
    <row r="1811" spans="18:18">
      <c r="R1811" s="137" t="e" cm="1">
        <f t="array" ref="R1811">_xlfn._xlws.FILTER(#REF!, E1811:P1811=MIN(E1811:P1811))</f>
        <v>#REF!</v>
      </c>
    </row>
    <row r="1812" spans="18:18">
      <c r="R1812" s="137" t="e" cm="1">
        <f t="array" ref="R1812">_xlfn._xlws.FILTER(#REF!, E1812:P1812=MIN(E1812:P1812))</f>
        <v>#REF!</v>
      </c>
    </row>
    <row r="1813" spans="18:18">
      <c r="R1813" s="137" t="e" cm="1">
        <f t="array" ref="R1813">_xlfn._xlws.FILTER(#REF!, E1813:P1813=MIN(E1813:P1813))</f>
        <v>#REF!</v>
      </c>
    </row>
    <row r="1814" spans="18:18">
      <c r="R1814" s="137" t="e" cm="1">
        <f t="array" ref="R1814">_xlfn._xlws.FILTER(#REF!, E1814:P1814=MIN(E1814:P1814))</f>
        <v>#REF!</v>
      </c>
    </row>
    <row r="1815" spans="18:18">
      <c r="R1815" s="137" t="e" cm="1">
        <f t="array" ref="R1815">_xlfn._xlws.FILTER(#REF!, E1815:P1815=MIN(E1815:P1815))</f>
        <v>#REF!</v>
      </c>
    </row>
    <row r="1816" spans="18:18">
      <c r="R1816" s="137" t="e" cm="1">
        <f t="array" ref="R1816">_xlfn._xlws.FILTER(#REF!, E1816:P1816=MIN(E1816:P1816))</f>
        <v>#REF!</v>
      </c>
    </row>
    <row r="1817" spans="18:18">
      <c r="R1817" s="137" t="e" cm="1">
        <f t="array" ref="R1817">_xlfn._xlws.FILTER(#REF!, E1817:P1817=MIN(E1817:P1817))</f>
        <v>#REF!</v>
      </c>
    </row>
    <row r="1818" spans="18:18">
      <c r="R1818" s="137" t="e" cm="1">
        <f t="array" ref="R1818">_xlfn._xlws.FILTER(#REF!, E1818:P1818=MIN(E1818:P1818))</f>
        <v>#REF!</v>
      </c>
    </row>
    <row r="1819" spans="18:18">
      <c r="R1819" s="137" t="e" cm="1">
        <f t="array" ref="R1819">_xlfn._xlws.FILTER(#REF!, E1819:P1819=MIN(E1819:P1819))</f>
        <v>#REF!</v>
      </c>
    </row>
    <row r="1820" spans="18:18">
      <c r="R1820" s="137" t="e" cm="1">
        <f t="array" ref="R1820">_xlfn._xlws.FILTER(#REF!, E1820:P1820=MIN(E1820:P1820))</f>
        <v>#REF!</v>
      </c>
    </row>
    <row r="1821" spans="18:18">
      <c r="R1821" s="137" t="e" cm="1">
        <f t="array" ref="R1821">_xlfn._xlws.FILTER(#REF!, E1821:P1821=MIN(E1821:P1821))</f>
        <v>#REF!</v>
      </c>
    </row>
    <row r="1822" spans="18:18">
      <c r="R1822" s="137" t="e" cm="1">
        <f t="array" ref="R1822">_xlfn._xlws.FILTER(#REF!, E1822:P1822=MIN(E1822:P1822))</f>
        <v>#REF!</v>
      </c>
    </row>
    <row r="1823" spans="18:18">
      <c r="R1823" s="137" t="e" cm="1">
        <f t="array" ref="R1823">_xlfn._xlws.FILTER(#REF!, E1823:P1823=MIN(E1823:P1823))</f>
        <v>#REF!</v>
      </c>
    </row>
    <row r="1824" spans="18:18">
      <c r="R1824" s="137" t="e" cm="1">
        <f t="array" ref="R1824">_xlfn._xlws.FILTER(#REF!, E1824:P1824=MIN(E1824:P1824))</f>
        <v>#REF!</v>
      </c>
    </row>
    <row r="1825" spans="18:18">
      <c r="R1825" s="137" t="e" cm="1">
        <f t="array" ref="R1825">_xlfn._xlws.FILTER(#REF!, E1825:P1825=MIN(E1825:P1825))</f>
        <v>#REF!</v>
      </c>
    </row>
    <row r="1826" spans="18:18">
      <c r="R1826" s="137" t="e" cm="1">
        <f t="array" ref="R1826">_xlfn._xlws.FILTER(#REF!, E1826:P1826=MIN(E1826:P1826))</f>
        <v>#REF!</v>
      </c>
    </row>
    <row r="1827" spans="18:18">
      <c r="R1827" s="137" t="e" cm="1">
        <f t="array" ref="R1827">_xlfn._xlws.FILTER(#REF!, E1827:P1827=MIN(E1827:P1827))</f>
        <v>#REF!</v>
      </c>
    </row>
    <row r="1828" spans="18:18">
      <c r="R1828" s="137" t="e" cm="1">
        <f t="array" ref="R1828">_xlfn._xlws.FILTER(#REF!, E1828:P1828=MIN(E1828:P1828))</f>
        <v>#REF!</v>
      </c>
    </row>
    <row r="1829" spans="18:18">
      <c r="R1829" s="137" t="e" cm="1">
        <f t="array" ref="R1829">_xlfn._xlws.FILTER(#REF!, E1829:P1829=MIN(E1829:P1829))</f>
        <v>#REF!</v>
      </c>
    </row>
    <row r="1830" spans="18:18">
      <c r="R1830" s="137" t="e" cm="1">
        <f t="array" ref="R1830">_xlfn._xlws.FILTER(#REF!, E1830:P1830=MIN(E1830:P1830))</f>
        <v>#REF!</v>
      </c>
    </row>
    <row r="1831" spans="18:18">
      <c r="R1831" s="137" t="e" cm="1">
        <f t="array" ref="R1831">_xlfn._xlws.FILTER(#REF!, E1831:P1831=MIN(E1831:P1831))</f>
        <v>#REF!</v>
      </c>
    </row>
    <row r="1832" spans="18:18">
      <c r="R1832" s="137" t="e" cm="1">
        <f t="array" ref="R1832">_xlfn._xlws.FILTER(#REF!, E1832:P1832=MIN(E1832:P1832))</f>
        <v>#REF!</v>
      </c>
    </row>
    <row r="1833" spans="18:18">
      <c r="R1833" s="137" t="e" cm="1">
        <f t="array" ref="R1833">_xlfn._xlws.FILTER(#REF!, E1833:P1833=MIN(E1833:P1833))</f>
        <v>#REF!</v>
      </c>
    </row>
    <row r="1834" spans="18:18">
      <c r="R1834" s="137" t="e" cm="1">
        <f t="array" ref="R1834">_xlfn._xlws.FILTER(#REF!, E1834:P1834=MIN(E1834:P1834))</f>
        <v>#REF!</v>
      </c>
    </row>
    <row r="1835" spans="18:18">
      <c r="R1835" s="137" t="e" cm="1">
        <f t="array" ref="R1835">_xlfn._xlws.FILTER(#REF!, E1835:P1835=MIN(E1835:P1835))</f>
        <v>#REF!</v>
      </c>
    </row>
    <row r="1836" spans="18:18">
      <c r="R1836" s="137" t="e" cm="1">
        <f t="array" ref="R1836">_xlfn._xlws.FILTER(#REF!, E1836:P1836=MIN(E1836:P1836))</f>
        <v>#REF!</v>
      </c>
    </row>
    <row r="1837" spans="18:18">
      <c r="R1837" s="137" t="e" cm="1">
        <f t="array" ref="R1837">_xlfn._xlws.FILTER(#REF!, E1837:P1837=MIN(E1837:P1837))</f>
        <v>#REF!</v>
      </c>
    </row>
    <row r="1838" spans="18:18">
      <c r="R1838" s="137" t="e" cm="1">
        <f t="array" ref="R1838">_xlfn._xlws.FILTER(#REF!, E1838:P1838=MIN(E1838:P1838))</f>
        <v>#REF!</v>
      </c>
    </row>
    <row r="1839" spans="18:18">
      <c r="R1839" s="137" t="e" cm="1">
        <f t="array" ref="R1839">_xlfn._xlws.FILTER(#REF!, E1839:P1839=MIN(E1839:P1839))</f>
        <v>#REF!</v>
      </c>
    </row>
    <row r="1840" spans="18:18">
      <c r="R1840" s="137" t="e" cm="1">
        <f t="array" ref="R1840">_xlfn._xlws.FILTER(#REF!, E1840:P1840=MIN(E1840:P1840))</f>
        <v>#REF!</v>
      </c>
    </row>
    <row r="1841" spans="18:18">
      <c r="R1841" s="137" t="e" cm="1">
        <f t="array" ref="R1841">_xlfn._xlws.FILTER(#REF!, E1841:P1841=MIN(E1841:P1841))</f>
        <v>#REF!</v>
      </c>
    </row>
    <row r="1842" spans="18:18">
      <c r="R1842" s="137" t="e" cm="1">
        <f t="array" ref="R1842">_xlfn._xlws.FILTER(#REF!, E1842:P1842=MIN(E1842:P1842))</f>
        <v>#REF!</v>
      </c>
    </row>
    <row r="1843" spans="18:18">
      <c r="R1843" s="137" t="e" cm="1">
        <f t="array" ref="R1843">_xlfn._xlws.FILTER(#REF!, E1843:P1843=MIN(E1843:P1843))</f>
        <v>#REF!</v>
      </c>
    </row>
    <row r="1844" spans="18:18">
      <c r="R1844" s="137" t="e" cm="1">
        <f t="array" ref="R1844">_xlfn._xlws.FILTER(#REF!, E1844:P1844=MIN(E1844:P1844))</f>
        <v>#REF!</v>
      </c>
    </row>
    <row r="1845" spans="18:18">
      <c r="R1845" s="137" t="e" cm="1">
        <f t="array" ref="R1845">_xlfn._xlws.FILTER(#REF!, E1845:P1845=MIN(E1845:P1845))</f>
        <v>#REF!</v>
      </c>
    </row>
    <row r="1846" spans="18:18">
      <c r="R1846" s="137" t="e" cm="1">
        <f t="array" ref="R1846">_xlfn._xlws.FILTER(#REF!, E1846:P1846=MIN(E1846:P1846))</f>
        <v>#REF!</v>
      </c>
    </row>
    <row r="1847" spans="18:18">
      <c r="R1847" s="137" t="e" cm="1">
        <f t="array" ref="R1847">_xlfn._xlws.FILTER(#REF!, E1847:P1847=MIN(E1847:P1847))</f>
        <v>#REF!</v>
      </c>
    </row>
    <row r="1848" spans="18:18">
      <c r="R1848" s="137" t="e" cm="1">
        <f t="array" ref="R1848">_xlfn._xlws.FILTER(#REF!, E1848:P1848=MIN(E1848:P1848))</f>
        <v>#REF!</v>
      </c>
    </row>
    <row r="1849" spans="18:18">
      <c r="R1849" s="137" t="e" cm="1">
        <f t="array" ref="R1849">_xlfn._xlws.FILTER(#REF!, E1849:P1849=MIN(E1849:P1849))</f>
        <v>#REF!</v>
      </c>
    </row>
    <row r="1850" spans="18:18">
      <c r="R1850" s="137" t="e" cm="1">
        <f t="array" ref="R1850">_xlfn._xlws.FILTER(#REF!, E1850:P1850=MIN(E1850:P1850))</f>
        <v>#REF!</v>
      </c>
    </row>
    <row r="1851" spans="18:18">
      <c r="R1851" s="137" t="e" cm="1">
        <f t="array" ref="R1851">_xlfn._xlws.FILTER(#REF!, E1851:P1851=MIN(E1851:P1851))</f>
        <v>#REF!</v>
      </c>
    </row>
    <row r="1852" spans="18:18">
      <c r="R1852" s="137" t="e" cm="1">
        <f t="array" ref="R1852">_xlfn._xlws.FILTER(#REF!, E1852:P1852=MIN(E1852:P1852))</f>
        <v>#REF!</v>
      </c>
    </row>
    <row r="1853" spans="18:18">
      <c r="R1853" s="137" t="e" cm="1">
        <f t="array" ref="R1853">_xlfn._xlws.FILTER(#REF!, E1853:P1853=MIN(E1853:P1853))</f>
        <v>#REF!</v>
      </c>
    </row>
    <row r="1854" spans="18:18">
      <c r="R1854" s="137" t="e" cm="1">
        <f t="array" ref="R1854">_xlfn._xlws.FILTER(#REF!, E1854:P1854=MIN(E1854:P1854))</f>
        <v>#REF!</v>
      </c>
    </row>
    <row r="1855" spans="18:18">
      <c r="R1855" s="137" t="e" cm="1">
        <f t="array" ref="R1855">_xlfn._xlws.FILTER(#REF!, E1855:P1855=MIN(E1855:P1855))</f>
        <v>#REF!</v>
      </c>
    </row>
    <row r="1856" spans="18:18">
      <c r="R1856" s="137" t="e" cm="1">
        <f t="array" ref="R1856">_xlfn._xlws.FILTER(#REF!, E1856:P1856=MIN(E1856:P1856))</f>
        <v>#REF!</v>
      </c>
    </row>
    <row r="1857" spans="18:18">
      <c r="R1857" s="137" t="e" cm="1">
        <f t="array" ref="R1857">_xlfn._xlws.FILTER(#REF!, E1857:P1857=MIN(E1857:P1857))</f>
        <v>#REF!</v>
      </c>
    </row>
    <row r="1858" spans="18:18">
      <c r="R1858" s="137" t="e" cm="1">
        <f t="array" ref="R1858">_xlfn._xlws.FILTER(#REF!, E1858:P1858=MIN(E1858:P1858))</f>
        <v>#REF!</v>
      </c>
    </row>
    <row r="1859" spans="18:18">
      <c r="R1859" s="137" t="e" cm="1">
        <f t="array" ref="R1859">_xlfn._xlws.FILTER(#REF!, E1859:P1859=MIN(E1859:P1859))</f>
        <v>#REF!</v>
      </c>
    </row>
    <row r="1860" spans="18:18">
      <c r="R1860" s="137" t="e" cm="1">
        <f t="array" ref="R1860">_xlfn._xlws.FILTER(#REF!, E1860:P1860=MIN(E1860:P1860))</f>
        <v>#REF!</v>
      </c>
    </row>
    <row r="1861" spans="18:18">
      <c r="R1861" s="137" t="e" cm="1">
        <f t="array" ref="R1861">_xlfn._xlws.FILTER(#REF!, E1861:P1861=MIN(E1861:P1861))</f>
        <v>#REF!</v>
      </c>
    </row>
    <row r="1862" spans="18:18">
      <c r="R1862" s="137" t="e" cm="1">
        <f t="array" ref="R1862">_xlfn._xlws.FILTER(#REF!, E1862:P1862=MIN(E1862:P1862))</f>
        <v>#REF!</v>
      </c>
    </row>
    <row r="1863" spans="18:18">
      <c r="R1863" s="137" t="e" cm="1">
        <f t="array" ref="R1863">_xlfn._xlws.FILTER(#REF!, E1863:P1863=MIN(E1863:P1863))</f>
        <v>#REF!</v>
      </c>
    </row>
    <row r="1864" spans="18:18">
      <c r="R1864" s="137" t="e" cm="1">
        <f t="array" ref="R1864">_xlfn._xlws.FILTER(#REF!, E1864:P1864=MIN(E1864:P1864))</f>
        <v>#REF!</v>
      </c>
    </row>
    <row r="1865" spans="18:18">
      <c r="R1865" s="137" t="e" cm="1">
        <f t="array" ref="R1865">_xlfn._xlws.FILTER(#REF!, E1865:P1865=MIN(E1865:P1865))</f>
        <v>#REF!</v>
      </c>
    </row>
    <row r="1866" spans="18:18">
      <c r="R1866" s="137" t="e" cm="1">
        <f t="array" ref="R1866">_xlfn._xlws.FILTER(#REF!, E1866:P1866=MIN(E1866:P1866))</f>
        <v>#REF!</v>
      </c>
    </row>
    <row r="1867" spans="18:18">
      <c r="R1867" s="137" t="e" cm="1">
        <f t="array" ref="R1867">_xlfn._xlws.FILTER(#REF!, E1867:P1867=MIN(E1867:P1867))</f>
        <v>#REF!</v>
      </c>
    </row>
    <row r="1868" spans="18:18">
      <c r="R1868" s="137" t="e" cm="1">
        <f t="array" ref="R1868">_xlfn._xlws.FILTER(#REF!, E1868:P1868=MIN(E1868:P1868))</f>
        <v>#REF!</v>
      </c>
    </row>
    <row r="1869" spans="18:18">
      <c r="R1869" s="137" t="e" cm="1">
        <f t="array" ref="R1869">_xlfn._xlws.FILTER(#REF!, E1869:P1869=MIN(E1869:P1869))</f>
        <v>#REF!</v>
      </c>
    </row>
    <row r="1870" spans="18:18">
      <c r="R1870" s="137" t="e" cm="1">
        <f t="array" ref="R1870">_xlfn._xlws.FILTER(#REF!, E1870:P1870=MIN(E1870:P1870))</f>
        <v>#REF!</v>
      </c>
    </row>
    <row r="1871" spans="18:18">
      <c r="R1871" s="137" t="e" cm="1">
        <f t="array" ref="R1871">_xlfn._xlws.FILTER(#REF!, E1871:P1871=MIN(E1871:P1871))</f>
        <v>#REF!</v>
      </c>
    </row>
    <row r="1872" spans="18:18">
      <c r="R1872" s="137" t="e" cm="1">
        <f t="array" ref="R1872">_xlfn._xlws.FILTER(#REF!, E1872:P1872=MIN(E1872:P1872))</f>
        <v>#REF!</v>
      </c>
    </row>
    <row r="1873" spans="18:18">
      <c r="R1873" s="137" t="e" cm="1">
        <f t="array" ref="R1873">_xlfn._xlws.FILTER(#REF!, E1873:P1873=MIN(E1873:P1873))</f>
        <v>#REF!</v>
      </c>
    </row>
    <row r="1874" spans="18:18">
      <c r="R1874" s="137" t="e" cm="1">
        <f t="array" ref="R1874">_xlfn._xlws.FILTER(#REF!, E1874:P1874=MIN(E1874:P1874))</f>
        <v>#REF!</v>
      </c>
    </row>
    <row r="1875" spans="18:18">
      <c r="R1875" s="137" t="e" cm="1">
        <f t="array" ref="R1875">_xlfn._xlws.FILTER(#REF!, E1875:P1875=MIN(E1875:P1875))</f>
        <v>#REF!</v>
      </c>
    </row>
    <row r="1876" spans="18:18">
      <c r="R1876" s="137" t="e" cm="1">
        <f t="array" ref="R1876">_xlfn._xlws.FILTER(#REF!, E1876:P1876=MIN(E1876:P1876))</f>
        <v>#REF!</v>
      </c>
    </row>
    <row r="1877" spans="18:18">
      <c r="R1877" s="137" t="e" cm="1">
        <f t="array" ref="R1877">_xlfn._xlws.FILTER(#REF!, E1877:P1877=MIN(E1877:P1877))</f>
        <v>#REF!</v>
      </c>
    </row>
    <row r="1878" spans="18:18">
      <c r="R1878" s="137" t="e" cm="1">
        <f t="array" ref="R1878">_xlfn._xlws.FILTER(#REF!, E1878:P1878=MIN(E1878:P1878))</f>
        <v>#REF!</v>
      </c>
    </row>
    <row r="1879" spans="18:18">
      <c r="R1879" s="137" t="e" cm="1">
        <f t="array" ref="R1879">_xlfn._xlws.FILTER(#REF!, E1879:P1879=MIN(E1879:P1879))</f>
        <v>#REF!</v>
      </c>
    </row>
    <row r="1880" spans="18:18">
      <c r="R1880" s="137" t="e" cm="1">
        <f t="array" ref="R1880">_xlfn._xlws.FILTER(#REF!, E1880:P1880=MIN(E1880:P1880))</f>
        <v>#REF!</v>
      </c>
    </row>
    <row r="1881" spans="18:18">
      <c r="R1881" s="137" t="e" cm="1">
        <f t="array" ref="R1881">_xlfn._xlws.FILTER(#REF!, E1881:P1881=MIN(E1881:P1881))</f>
        <v>#REF!</v>
      </c>
    </row>
    <row r="1882" spans="18:18">
      <c r="R1882" s="137" t="e" cm="1">
        <f t="array" ref="R1882">_xlfn._xlws.FILTER(#REF!, E1882:P1882=MIN(E1882:P1882))</f>
        <v>#REF!</v>
      </c>
    </row>
    <row r="1883" spans="18:18">
      <c r="R1883" s="137" t="e" cm="1">
        <f t="array" ref="R1883">_xlfn._xlws.FILTER(#REF!, E1883:P1883=MIN(E1883:P1883))</f>
        <v>#REF!</v>
      </c>
    </row>
    <row r="1884" spans="18:18">
      <c r="R1884" s="137" t="e" cm="1">
        <f t="array" ref="R1884">_xlfn._xlws.FILTER(#REF!, E1884:P1884=MIN(E1884:P1884))</f>
        <v>#REF!</v>
      </c>
    </row>
    <row r="1885" spans="18:18">
      <c r="R1885" s="137" t="e" cm="1">
        <f t="array" ref="R1885">_xlfn._xlws.FILTER(#REF!, E1885:P1885=MIN(E1885:P1885))</f>
        <v>#REF!</v>
      </c>
    </row>
    <row r="1886" spans="18:18">
      <c r="R1886" s="137" t="e" cm="1">
        <f t="array" ref="R1886">_xlfn._xlws.FILTER(#REF!, E1886:P1886=MIN(E1886:P1886))</f>
        <v>#REF!</v>
      </c>
    </row>
    <row r="1887" spans="18:18">
      <c r="R1887" s="137" t="e" cm="1">
        <f t="array" ref="R1887">_xlfn._xlws.FILTER(#REF!, E1887:P1887=MIN(E1887:P1887))</f>
        <v>#REF!</v>
      </c>
    </row>
    <row r="1888" spans="18:18">
      <c r="R1888" s="137" t="e" cm="1">
        <f t="array" ref="R1888">_xlfn._xlws.FILTER(#REF!, E1888:P1888=MIN(E1888:P1888))</f>
        <v>#REF!</v>
      </c>
    </row>
    <row r="1889" spans="18:18">
      <c r="R1889" s="137" t="e" cm="1">
        <f t="array" ref="R1889">_xlfn._xlws.FILTER(#REF!, E1889:P1889=MIN(E1889:P1889))</f>
        <v>#REF!</v>
      </c>
    </row>
    <row r="1890" spans="18:18">
      <c r="R1890" s="137" t="e" cm="1">
        <f t="array" ref="R1890">_xlfn._xlws.FILTER(#REF!, E1890:P1890=MIN(E1890:P1890))</f>
        <v>#REF!</v>
      </c>
    </row>
    <row r="1891" spans="18:18">
      <c r="R1891" s="137" t="e" cm="1">
        <f t="array" ref="R1891">_xlfn._xlws.FILTER(#REF!, E1891:P1891=MIN(E1891:P1891))</f>
        <v>#REF!</v>
      </c>
    </row>
    <row r="1892" spans="18:18">
      <c r="R1892" s="137" t="e" cm="1">
        <f t="array" ref="R1892">_xlfn._xlws.FILTER(#REF!, E1892:P1892=MIN(E1892:P1892))</f>
        <v>#REF!</v>
      </c>
    </row>
    <row r="1893" spans="18:18">
      <c r="R1893" s="137" t="e" cm="1">
        <f t="array" ref="R1893">_xlfn._xlws.FILTER(#REF!, E1893:P1893=MIN(E1893:P1893))</f>
        <v>#REF!</v>
      </c>
    </row>
    <row r="1894" spans="18:18">
      <c r="R1894" s="137" t="e" cm="1">
        <f t="array" ref="R1894">_xlfn._xlws.FILTER(#REF!, E1894:P1894=MIN(E1894:P1894))</f>
        <v>#REF!</v>
      </c>
    </row>
    <row r="1895" spans="18:18">
      <c r="R1895" s="137" t="e" cm="1">
        <f t="array" ref="R1895">_xlfn._xlws.FILTER(#REF!, E1895:P1895=MIN(E1895:P1895))</f>
        <v>#REF!</v>
      </c>
    </row>
    <row r="1896" spans="18:18">
      <c r="R1896" s="137" t="e" cm="1">
        <f t="array" ref="R1896">_xlfn._xlws.FILTER(#REF!, E1896:P1896=MIN(E1896:P1896))</f>
        <v>#REF!</v>
      </c>
    </row>
    <row r="1897" spans="18:18">
      <c r="R1897" s="137" t="e" cm="1">
        <f t="array" ref="R1897">_xlfn._xlws.FILTER(#REF!, E1897:P1897=MIN(E1897:P1897))</f>
        <v>#REF!</v>
      </c>
    </row>
    <row r="1898" spans="18:18">
      <c r="R1898" s="137" t="e" cm="1">
        <f t="array" ref="R1898">_xlfn._xlws.FILTER(#REF!, E1898:P1898=MIN(E1898:P1898))</f>
        <v>#REF!</v>
      </c>
    </row>
    <row r="1899" spans="18:18">
      <c r="R1899" s="137" t="e" cm="1">
        <f t="array" ref="R1899">_xlfn._xlws.FILTER(#REF!, E1899:P1899=MIN(E1899:P1899))</f>
        <v>#REF!</v>
      </c>
    </row>
    <row r="1900" spans="18:18">
      <c r="R1900" s="137" t="e" cm="1">
        <f t="array" ref="R1900">_xlfn._xlws.FILTER(#REF!, E1900:P1900=MIN(E1900:P1900))</f>
        <v>#REF!</v>
      </c>
    </row>
    <row r="1901" spans="18:18">
      <c r="R1901" s="137" t="e" cm="1">
        <f t="array" ref="R1901">_xlfn._xlws.FILTER(#REF!, E1901:P1901=MIN(E1901:P1901))</f>
        <v>#REF!</v>
      </c>
    </row>
    <row r="1902" spans="18:18">
      <c r="R1902" s="137" t="e" cm="1">
        <f t="array" ref="R1902">_xlfn._xlws.FILTER(#REF!, E1902:P1902=MIN(E1902:P1902))</f>
        <v>#REF!</v>
      </c>
    </row>
    <row r="1903" spans="18:18">
      <c r="R1903" s="137" t="e" cm="1">
        <f t="array" ref="R1903">_xlfn._xlws.FILTER(#REF!, E1903:P1903=MIN(E1903:P1903))</f>
        <v>#REF!</v>
      </c>
    </row>
    <row r="1904" spans="18:18">
      <c r="R1904" s="137" t="e" cm="1">
        <f t="array" ref="R1904">_xlfn._xlws.FILTER(#REF!, E1904:P1904=MIN(E1904:P1904))</f>
        <v>#REF!</v>
      </c>
    </row>
    <row r="1905" spans="18:18">
      <c r="R1905" s="137" t="e" cm="1">
        <f t="array" ref="R1905">_xlfn._xlws.FILTER(#REF!, E1905:P1905=MIN(E1905:P1905))</f>
        <v>#REF!</v>
      </c>
    </row>
    <row r="1906" spans="18:18">
      <c r="R1906" s="137" t="e" cm="1">
        <f t="array" ref="R1906">_xlfn._xlws.FILTER(#REF!, E1906:P1906=MIN(E1906:P1906))</f>
        <v>#REF!</v>
      </c>
    </row>
    <row r="1907" spans="18:18">
      <c r="R1907" s="137" t="e" cm="1">
        <f t="array" ref="R1907">_xlfn._xlws.FILTER(#REF!, E1907:P1907=MIN(E1907:P1907))</f>
        <v>#REF!</v>
      </c>
    </row>
    <row r="1908" spans="18:18">
      <c r="R1908" s="137" t="e" cm="1">
        <f t="array" ref="R1908">_xlfn._xlws.FILTER(#REF!, E1908:P1908=MIN(E1908:P1908))</f>
        <v>#REF!</v>
      </c>
    </row>
    <row r="1909" spans="18:18">
      <c r="R1909" s="137" t="e" cm="1">
        <f t="array" ref="R1909">_xlfn._xlws.FILTER(#REF!, E1909:P1909=MIN(E1909:P1909))</f>
        <v>#REF!</v>
      </c>
    </row>
    <row r="1910" spans="18:18">
      <c r="R1910" s="137" t="e" cm="1">
        <f t="array" ref="R1910">_xlfn._xlws.FILTER(#REF!, E1910:P1910=MIN(E1910:P1910))</f>
        <v>#REF!</v>
      </c>
    </row>
    <row r="1911" spans="18:18">
      <c r="R1911" s="137" t="e" cm="1">
        <f t="array" ref="R1911">_xlfn._xlws.FILTER(#REF!, E1911:P1911=MIN(E1911:P1911))</f>
        <v>#REF!</v>
      </c>
    </row>
    <row r="1912" spans="18:18">
      <c r="R1912" s="137" t="e" cm="1">
        <f t="array" ref="R1912">_xlfn._xlws.FILTER(#REF!, E1912:P1912=MIN(E1912:P1912))</f>
        <v>#REF!</v>
      </c>
    </row>
    <row r="1913" spans="18:18">
      <c r="R1913" s="137" t="e" cm="1">
        <f t="array" ref="R1913">_xlfn._xlws.FILTER(#REF!, E1913:P1913=MIN(E1913:P1913))</f>
        <v>#REF!</v>
      </c>
    </row>
    <row r="1914" spans="18:18">
      <c r="R1914" s="137" t="e" cm="1">
        <f t="array" ref="R1914">_xlfn._xlws.FILTER(#REF!, E1914:P1914=MIN(E1914:P1914))</f>
        <v>#REF!</v>
      </c>
    </row>
    <row r="1915" spans="18:18">
      <c r="R1915" s="137" t="e" cm="1">
        <f t="array" ref="R1915">_xlfn._xlws.FILTER(#REF!, E1915:P1915=MIN(E1915:P1915))</f>
        <v>#REF!</v>
      </c>
    </row>
    <row r="1916" spans="18:18">
      <c r="R1916" s="137" t="e" cm="1">
        <f t="array" ref="R1916">_xlfn._xlws.FILTER(#REF!, E1916:P1916=MIN(E1916:P1916))</f>
        <v>#REF!</v>
      </c>
    </row>
    <row r="1917" spans="18:18">
      <c r="R1917" s="137" t="e" cm="1">
        <f t="array" ref="R1917">_xlfn._xlws.FILTER(#REF!, E1917:P1917=MIN(E1917:P1917))</f>
        <v>#REF!</v>
      </c>
    </row>
    <row r="1918" spans="18:18">
      <c r="R1918" s="137" t="e" cm="1">
        <f t="array" ref="R1918">_xlfn._xlws.FILTER(#REF!, E1918:P1918=MIN(E1918:P1918))</f>
        <v>#REF!</v>
      </c>
    </row>
    <row r="1919" spans="18:18">
      <c r="R1919" s="137" t="e" cm="1">
        <f t="array" ref="R1919">_xlfn._xlws.FILTER(#REF!, E1919:P1919=MIN(E1919:P1919))</f>
        <v>#REF!</v>
      </c>
    </row>
    <row r="1920" spans="18:18">
      <c r="R1920" s="137" t="e" cm="1">
        <f t="array" ref="R1920">_xlfn._xlws.FILTER(#REF!, E1920:P1920=MIN(E1920:P1920))</f>
        <v>#REF!</v>
      </c>
    </row>
    <row r="1921" spans="18:18">
      <c r="R1921" s="137" t="e" cm="1">
        <f t="array" ref="R1921">_xlfn._xlws.FILTER(#REF!, E1921:P1921=MIN(E1921:P1921))</f>
        <v>#REF!</v>
      </c>
    </row>
    <row r="1922" spans="18:18">
      <c r="R1922" s="137" t="e" cm="1">
        <f t="array" ref="R1922">_xlfn._xlws.FILTER(#REF!, E1922:P1922=MIN(E1922:P1922))</f>
        <v>#REF!</v>
      </c>
    </row>
    <row r="1923" spans="18:18">
      <c r="R1923" s="137" t="e" cm="1">
        <f t="array" ref="R1923">_xlfn._xlws.FILTER(#REF!, E1923:P1923=MIN(E1923:P1923))</f>
        <v>#REF!</v>
      </c>
    </row>
    <row r="1924" spans="18:18">
      <c r="R1924" s="137" t="e" cm="1">
        <f t="array" ref="R1924">_xlfn._xlws.FILTER(#REF!, E1924:P1924=MIN(E1924:P1924))</f>
        <v>#REF!</v>
      </c>
    </row>
    <row r="1925" spans="18:18">
      <c r="R1925" s="137" t="e" cm="1">
        <f t="array" ref="R1925">_xlfn._xlws.FILTER(#REF!, E1925:P1925=MIN(E1925:P1925))</f>
        <v>#REF!</v>
      </c>
    </row>
    <row r="1926" spans="18:18">
      <c r="R1926" s="137" t="e" cm="1">
        <f t="array" ref="R1926">_xlfn._xlws.FILTER(#REF!, E1926:P1926=MIN(E1926:P1926))</f>
        <v>#REF!</v>
      </c>
    </row>
    <row r="1927" spans="18:18">
      <c r="R1927" s="137" t="e" cm="1">
        <f t="array" ref="R1927">_xlfn._xlws.FILTER(#REF!, E1927:P1927=MIN(E1927:P1927))</f>
        <v>#REF!</v>
      </c>
    </row>
    <row r="1928" spans="18:18">
      <c r="R1928" s="137" t="e" cm="1">
        <f t="array" ref="R1928">_xlfn._xlws.FILTER(#REF!, E1928:P1928=MIN(E1928:P1928))</f>
        <v>#REF!</v>
      </c>
    </row>
    <row r="1929" spans="18:18">
      <c r="R1929" s="137" t="e" cm="1">
        <f t="array" ref="R1929">_xlfn._xlws.FILTER(#REF!, E1929:P1929=MIN(E1929:P1929))</f>
        <v>#REF!</v>
      </c>
    </row>
    <row r="1930" spans="18:18">
      <c r="R1930" s="137" t="e" cm="1">
        <f t="array" ref="R1930">_xlfn._xlws.FILTER(#REF!, E1930:P1930=MIN(E1930:P1930))</f>
        <v>#REF!</v>
      </c>
    </row>
    <row r="1931" spans="18:18">
      <c r="R1931" s="137" t="e" cm="1">
        <f t="array" ref="R1931">_xlfn._xlws.FILTER(#REF!, E1931:P1931=MIN(E1931:P1931))</f>
        <v>#REF!</v>
      </c>
    </row>
    <row r="1932" spans="18:18">
      <c r="R1932" s="137" t="e" cm="1">
        <f t="array" ref="R1932">_xlfn._xlws.FILTER(#REF!, E1932:P1932=MIN(E1932:P1932))</f>
        <v>#REF!</v>
      </c>
    </row>
    <row r="1933" spans="18:18">
      <c r="R1933" s="137" t="e" cm="1">
        <f t="array" ref="R1933">_xlfn._xlws.FILTER(#REF!, E1933:P1933=MIN(E1933:P1933))</f>
        <v>#REF!</v>
      </c>
    </row>
    <row r="1934" spans="18:18">
      <c r="R1934" s="137" t="e" cm="1">
        <f t="array" ref="R1934">_xlfn._xlws.FILTER(#REF!, E1934:P1934=MIN(E1934:P1934))</f>
        <v>#REF!</v>
      </c>
    </row>
    <row r="1935" spans="18:18">
      <c r="R1935" s="137" t="e" cm="1">
        <f t="array" ref="R1935">_xlfn._xlws.FILTER(#REF!, E1935:P1935=MIN(E1935:P1935))</f>
        <v>#REF!</v>
      </c>
    </row>
    <row r="1936" spans="18:18">
      <c r="R1936" s="137" t="e" cm="1">
        <f t="array" ref="R1936">_xlfn._xlws.FILTER(#REF!, E1936:P1936=MIN(E1936:P1936))</f>
        <v>#REF!</v>
      </c>
    </row>
    <row r="1937" spans="18:18">
      <c r="R1937" s="137" t="e" cm="1">
        <f t="array" ref="R1937">_xlfn._xlws.FILTER(#REF!, E1937:P1937=MIN(E1937:P1937))</f>
        <v>#REF!</v>
      </c>
    </row>
    <row r="1938" spans="18:18">
      <c r="R1938" s="137" t="e" cm="1">
        <f t="array" ref="R1938">_xlfn._xlws.FILTER(#REF!, E1938:P1938=MIN(E1938:P1938))</f>
        <v>#REF!</v>
      </c>
    </row>
    <row r="1939" spans="18:18">
      <c r="R1939" s="137" t="e" cm="1">
        <f t="array" ref="R1939">_xlfn._xlws.FILTER(#REF!, E1939:P1939=MIN(E1939:P1939))</f>
        <v>#REF!</v>
      </c>
    </row>
    <row r="1940" spans="18:18">
      <c r="R1940" s="137" t="e" cm="1">
        <f t="array" ref="R1940">_xlfn._xlws.FILTER(#REF!, E1940:P1940=MIN(E1940:P1940))</f>
        <v>#REF!</v>
      </c>
    </row>
    <row r="1941" spans="18:18">
      <c r="R1941" s="137" t="e" cm="1">
        <f t="array" ref="R1941">_xlfn._xlws.FILTER(#REF!, E1941:P1941=MIN(E1941:P1941))</f>
        <v>#REF!</v>
      </c>
    </row>
    <row r="1942" spans="18:18">
      <c r="R1942" s="137" t="e" cm="1">
        <f t="array" ref="R1942">_xlfn._xlws.FILTER(#REF!, E1942:P1942=MIN(E1942:P1942))</f>
        <v>#REF!</v>
      </c>
    </row>
    <row r="1943" spans="18:18">
      <c r="R1943" s="137" t="e" cm="1">
        <f t="array" ref="R1943">_xlfn._xlws.FILTER(#REF!, E1943:P1943=MIN(E1943:P1943))</f>
        <v>#REF!</v>
      </c>
    </row>
    <row r="1944" spans="18:18">
      <c r="R1944" s="137" t="e" cm="1">
        <f t="array" ref="R1944">_xlfn._xlws.FILTER(#REF!, E1944:P1944=MIN(E1944:P1944))</f>
        <v>#REF!</v>
      </c>
    </row>
    <row r="1945" spans="18:18">
      <c r="R1945" s="137" t="e" cm="1">
        <f t="array" ref="R1945">_xlfn._xlws.FILTER(#REF!, E1945:P1945=MIN(E1945:P1945))</f>
        <v>#REF!</v>
      </c>
    </row>
    <row r="1946" spans="18:18">
      <c r="R1946" s="137" t="e" cm="1">
        <f t="array" ref="R1946">_xlfn._xlws.FILTER(#REF!, E1946:P1946=MIN(E1946:P1946))</f>
        <v>#REF!</v>
      </c>
    </row>
    <row r="1947" spans="18:18">
      <c r="R1947" s="137" t="e" cm="1">
        <f t="array" ref="R1947">_xlfn._xlws.FILTER(#REF!, E1947:P1947=MIN(E1947:P1947))</f>
        <v>#REF!</v>
      </c>
    </row>
    <row r="1948" spans="18:18">
      <c r="R1948" s="137" t="e" cm="1">
        <f t="array" ref="R1948">_xlfn._xlws.FILTER(#REF!, E1948:P1948=MIN(E1948:P1948))</f>
        <v>#REF!</v>
      </c>
    </row>
    <row r="1949" spans="18:18">
      <c r="R1949" s="137" t="e" cm="1">
        <f t="array" ref="R1949">_xlfn._xlws.FILTER(#REF!, E1949:P1949=MIN(E1949:P1949))</f>
        <v>#REF!</v>
      </c>
    </row>
    <row r="1950" spans="18:18">
      <c r="R1950" s="137" t="e" cm="1">
        <f t="array" ref="R1950">_xlfn._xlws.FILTER(#REF!, E1950:P1950=MIN(E1950:P1950))</f>
        <v>#REF!</v>
      </c>
    </row>
    <row r="1951" spans="18:18">
      <c r="R1951" s="137" t="e" cm="1">
        <f t="array" ref="R1951">_xlfn._xlws.FILTER(#REF!, E1951:P1951=MIN(E1951:P1951))</f>
        <v>#REF!</v>
      </c>
    </row>
    <row r="1952" spans="18:18">
      <c r="R1952" s="137" t="e" cm="1">
        <f t="array" ref="R1952">_xlfn._xlws.FILTER(#REF!, E1952:P1952=MIN(E1952:P1952))</f>
        <v>#REF!</v>
      </c>
    </row>
    <row r="1953" spans="18:18">
      <c r="R1953" s="137" t="e" cm="1">
        <f t="array" ref="R1953">_xlfn._xlws.FILTER(#REF!, E1953:P1953=MIN(E1953:P1953))</f>
        <v>#REF!</v>
      </c>
    </row>
    <row r="1954" spans="18:18">
      <c r="R1954" s="137" t="e" cm="1">
        <f t="array" ref="R1954">_xlfn._xlws.FILTER(#REF!, E1954:P1954=MIN(E1954:P1954))</f>
        <v>#REF!</v>
      </c>
    </row>
    <row r="1955" spans="18:18">
      <c r="R1955" s="137" t="e" cm="1">
        <f t="array" ref="R1955">_xlfn._xlws.FILTER(#REF!, E1955:P1955=MIN(E1955:P1955))</f>
        <v>#REF!</v>
      </c>
    </row>
    <row r="1956" spans="18:18">
      <c r="R1956" s="137" t="e" cm="1">
        <f t="array" ref="R1956">_xlfn._xlws.FILTER(#REF!, E1956:P1956=MIN(E1956:P1956))</f>
        <v>#REF!</v>
      </c>
    </row>
    <row r="1957" spans="18:18">
      <c r="R1957" s="137" t="e" cm="1">
        <f t="array" ref="R1957">_xlfn._xlws.FILTER(#REF!, E1957:P1957=MIN(E1957:P1957))</f>
        <v>#REF!</v>
      </c>
    </row>
    <row r="1958" spans="18:18">
      <c r="R1958" s="137" t="e" cm="1">
        <f t="array" ref="R1958">_xlfn._xlws.FILTER(#REF!, E1958:P1958=MIN(E1958:P1958))</f>
        <v>#REF!</v>
      </c>
    </row>
    <row r="1959" spans="18:18">
      <c r="R1959" s="137" t="e" cm="1">
        <f t="array" ref="R1959">_xlfn._xlws.FILTER(#REF!, E1959:P1959=MIN(E1959:P1959))</f>
        <v>#REF!</v>
      </c>
    </row>
    <row r="1960" spans="18:18">
      <c r="R1960" s="137" t="e" cm="1">
        <f t="array" ref="R1960">_xlfn._xlws.FILTER(#REF!, E1960:P1960=MIN(E1960:P1960))</f>
        <v>#REF!</v>
      </c>
    </row>
    <row r="1961" spans="18:18">
      <c r="R1961" s="137" t="e" cm="1">
        <f t="array" ref="R1961">_xlfn._xlws.FILTER(#REF!, E1961:P1961=MIN(E1961:P1961))</f>
        <v>#REF!</v>
      </c>
    </row>
    <row r="1962" spans="18:18">
      <c r="R1962" s="137" t="e" cm="1">
        <f t="array" ref="R1962">_xlfn._xlws.FILTER(#REF!, E1962:P1962=MIN(E1962:P1962))</f>
        <v>#REF!</v>
      </c>
    </row>
    <row r="1963" spans="18:18">
      <c r="R1963" s="137" t="e" cm="1">
        <f t="array" ref="R1963">_xlfn._xlws.FILTER(#REF!, E1963:P1963=MIN(E1963:P1963))</f>
        <v>#REF!</v>
      </c>
    </row>
    <row r="1964" spans="18:18">
      <c r="R1964" s="137" t="e" cm="1">
        <f t="array" ref="R1964">_xlfn._xlws.FILTER(#REF!, E1964:P1964=MIN(E1964:P1964))</f>
        <v>#REF!</v>
      </c>
    </row>
    <row r="1965" spans="18:18">
      <c r="R1965" s="137" t="e" cm="1">
        <f t="array" ref="R1965">_xlfn._xlws.FILTER(#REF!, E1965:P1965=MIN(E1965:P1965))</f>
        <v>#REF!</v>
      </c>
    </row>
    <row r="1966" spans="18:18">
      <c r="R1966" s="137" t="e" cm="1">
        <f t="array" ref="R1966">_xlfn._xlws.FILTER(#REF!, E1966:P1966=MIN(E1966:P1966))</f>
        <v>#REF!</v>
      </c>
    </row>
    <row r="1967" spans="18:18">
      <c r="R1967" s="137" t="e" cm="1">
        <f t="array" ref="R1967">_xlfn._xlws.FILTER(#REF!, E1967:P1967=MIN(E1967:P1967))</f>
        <v>#REF!</v>
      </c>
    </row>
    <row r="1968" spans="18:18">
      <c r="R1968" s="137" t="e" cm="1">
        <f t="array" ref="R1968">_xlfn._xlws.FILTER(#REF!, E1968:P1968=MIN(E1968:P1968))</f>
        <v>#REF!</v>
      </c>
    </row>
    <row r="1969" spans="18:18">
      <c r="R1969" s="137" t="e" cm="1">
        <f t="array" ref="R1969">_xlfn._xlws.FILTER(#REF!, E1969:P1969=MIN(E1969:P1969))</f>
        <v>#REF!</v>
      </c>
    </row>
    <row r="1970" spans="18:18">
      <c r="R1970" s="137" t="e" cm="1">
        <f t="array" ref="R1970">_xlfn._xlws.FILTER(#REF!, E1970:P1970=MIN(E1970:P1970))</f>
        <v>#REF!</v>
      </c>
    </row>
    <row r="1971" spans="18:18">
      <c r="R1971" s="137" t="e" cm="1">
        <f t="array" ref="R1971">_xlfn._xlws.FILTER(#REF!, E1971:P1971=MIN(E1971:P1971))</f>
        <v>#REF!</v>
      </c>
    </row>
    <row r="1972" spans="18:18">
      <c r="R1972" s="137" t="e" cm="1">
        <f t="array" ref="R1972">_xlfn._xlws.FILTER(#REF!, E1972:P1972=MIN(E1972:P1972))</f>
        <v>#REF!</v>
      </c>
    </row>
    <row r="1973" spans="18:18">
      <c r="R1973" s="137" t="e" cm="1">
        <f t="array" ref="R1973">_xlfn._xlws.FILTER(#REF!, E1973:P1973=MIN(E1973:P1973))</f>
        <v>#REF!</v>
      </c>
    </row>
    <row r="1974" spans="18:18">
      <c r="R1974" s="137" t="e" cm="1">
        <f t="array" ref="R1974">_xlfn._xlws.FILTER(#REF!, E1974:P1974=MIN(E1974:P1974))</f>
        <v>#REF!</v>
      </c>
    </row>
    <row r="1975" spans="18:18">
      <c r="R1975" s="137" t="e" cm="1">
        <f t="array" ref="R1975">_xlfn._xlws.FILTER(#REF!, E1975:P1975=MIN(E1975:P1975))</f>
        <v>#REF!</v>
      </c>
    </row>
    <row r="1976" spans="18:18">
      <c r="R1976" s="137" t="e" cm="1">
        <f t="array" ref="R1976">_xlfn._xlws.FILTER(#REF!, E1976:P1976=MIN(E1976:P1976))</f>
        <v>#REF!</v>
      </c>
    </row>
    <row r="1977" spans="18:18">
      <c r="R1977" s="137" t="e" cm="1">
        <f t="array" ref="R1977">_xlfn._xlws.FILTER(#REF!, E1977:P1977=MIN(E1977:P1977))</f>
        <v>#REF!</v>
      </c>
    </row>
    <row r="1978" spans="18:18">
      <c r="R1978" s="137" t="e" cm="1">
        <f t="array" ref="R1978">_xlfn._xlws.FILTER(#REF!, E1978:P1978=MIN(E1978:P1978))</f>
        <v>#REF!</v>
      </c>
    </row>
    <row r="1979" spans="18:18">
      <c r="R1979" s="137" t="e" cm="1">
        <f t="array" ref="R1979">_xlfn._xlws.FILTER(#REF!, E1979:P1979=MIN(E1979:P1979))</f>
        <v>#REF!</v>
      </c>
    </row>
    <row r="1980" spans="18:18">
      <c r="R1980" s="137" t="e" cm="1">
        <f t="array" ref="R1980">_xlfn._xlws.FILTER(#REF!, E1980:P1980=MIN(E1980:P1980))</f>
        <v>#REF!</v>
      </c>
    </row>
    <row r="1981" spans="18:18">
      <c r="R1981" s="137" t="e" cm="1">
        <f t="array" ref="R1981">_xlfn._xlws.FILTER(#REF!, E1981:P1981=MIN(E1981:P1981))</f>
        <v>#REF!</v>
      </c>
    </row>
    <row r="1982" spans="18:18">
      <c r="R1982" s="137" t="e" cm="1">
        <f t="array" ref="R1982">_xlfn._xlws.FILTER(#REF!, E1982:P1982=MIN(E1982:P1982))</f>
        <v>#REF!</v>
      </c>
    </row>
    <row r="1983" spans="18:18">
      <c r="R1983" s="137" t="e" cm="1">
        <f t="array" ref="R1983">_xlfn._xlws.FILTER(#REF!, E1983:P1983=MIN(E1983:P1983))</f>
        <v>#REF!</v>
      </c>
    </row>
    <row r="1984" spans="18:18">
      <c r="R1984" s="137" t="e" cm="1">
        <f t="array" ref="R1984">_xlfn._xlws.FILTER(#REF!, E1984:P1984=MIN(E1984:P1984))</f>
        <v>#REF!</v>
      </c>
    </row>
    <row r="1985" spans="18:18">
      <c r="R1985" s="137" t="e" cm="1">
        <f t="array" ref="R1985">_xlfn._xlws.FILTER(#REF!, E1985:P1985=MIN(E1985:P1985))</f>
        <v>#REF!</v>
      </c>
    </row>
    <row r="1986" spans="18:18">
      <c r="R1986" s="137" t="e" cm="1">
        <f t="array" ref="R1986">_xlfn._xlws.FILTER(#REF!, E1986:P1986=MIN(E1986:P1986))</f>
        <v>#REF!</v>
      </c>
    </row>
    <row r="1987" spans="18:18">
      <c r="R1987" s="137" t="e" cm="1">
        <f t="array" ref="R1987">_xlfn._xlws.FILTER(#REF!, E1987:P1987=MIN(E1987:P1987))</f>
        <v>#REF!</v>
      </c>
    </row>
    <row r="1988" spans="18:18">
      <c r="R1988" s="137" t="e" cm="1">
        <f t="array" ref="R1988">_xlfn._xlws.FILTER(#REF!, E1988:P1988=MIN(E1988:P1988))</f>
        <v>#REF!</v>
      </c>
    </row>
    <row r="1989" spans="18:18">
      <c r="R1989" s="137" t="e" cm="1">
        <f t="array" ref="R1989">_xlfn._xlws.FILTER(#REF!, E1989:P1989=MIN(E1989:P1989))</f>
        <v>#REF!</v>
      </c>
    </row>
    <row r="1990" spans="18:18">
      <c r="R1990" s="137" t="e" cm="1">
        <f t="array" ref="R1990">_xlfn._xlws.FILTER(#REF!, E1990:P1990=MIN(E1990:P1990))</f>
        <v>#REF!</v>
      </c>
    </row>
    <row r="1991" spans="18:18">
      <c r="R1991" s="137" t="e" cm="1">
        <f t="array" ref="R1991">_xlfn._xlws.FILTER(#REF!, E1991:P1991=MIN(E1991:P1991))</f>
        <v>#REF!</v>
      </c>
    </row>
    <row r="1992" spans="18:18">
      <c r="R1992" s="137" t="e" cm="1">
        <f t="array" ref="R1992">_xlfn._xlws.FILTER(#REF!, E1992:P1992=MIN(E1992:P1992))</f>
        <v>#REF!</v>
      </c>
    </row>
    <row r="1993" spans="18:18">
      <c r="R1993" s="137" t="e" cm="1">
        <f t="array" ref="R1993">_xlfn._xlws.FILTER(#REF!, E1993:P1993=MIN(E1993:P1993))</f>
        <v>#REF!</v>
      </c>
    </row>
    <row r="1994" spans="18:18">
      <c r="R1994" s="137" t="e" cm="1">
        <f t="array" ref="R1994">_xlfn._xlws.FILTER(#REF!, E1994:P1994=MIN(E1994:P1994))</f>
        <v>#REF!</v>
      </c>
    </row>
    <row r="1995" spans="18:18">
      <c r="R1995" s="137" t="e" cm="1">
        <f t="array" ref="R1995">_xlfn._xlws.FILTER(#REF!, E1995:P1995=MIN(E1995:P1995))</f>
        <v>#REF!</v>
      </c>
    </row>
    <row r="1996" spans="18:18">
      <c r="R1996" s="137" t="e" cm="1">
        <f t="array" ref="R1996">_xlfn._xlws.FILTER(#REF!, E1996:P1996=MIN(E1996:P1996))</f>
        <v>#REF!</v>
      </c>
    </row>
    <row r="1997" spans="18:18">
      <c r="R1997" s="137" t="e" cm="1">
        <f t="array" ref="R1997">_xlfn._xlws.FILTER(#REF!, E1997:P1997=MIN(E1997:P1997))</f>
        <v>#REF!</v>
      </c>
    </row>
    <row r="1998" spans="18:18">
      <c r="R1998" s="137" t="e" cm="1">
        <f t="array" ref="R1998">_xlfn._xlws.FILTER(#REF!, E1998:P1998=MIN(E1998:P1998))</f>
        <v>#REF!</v>
      </c>
    </row>
    <row r="1999" spans="18:18">
      <c r="R1999" s="137" t="e" cm="1">
        <f t="array" ref="R1999">_xlfn._xlws.FILTER(#REF!, E1999:P1999=MIN(E1999:P1999))</f>
        <v>#REF!</v>
      </c>
    </row>
    <row r="2000" spans="18:18">
      <c r="R2000" s="137" t="e" cm="1">
        <f t="array" ref="R2000">_xlfn._xlws.FILTER(#REF!, E2000:P2000=MIN(E2000:P2000))</f>
        <v>#REF!</v>
      </c>
    </row>
    <row r="2001" spans="18:18">
      <c r="R2001" s="137" t="e" cm="1">
        <f t="array" ref="R2001">_xlfn._xlws.FILTER(#REF!, E2001:P2001=MIN(E2001:P2001))</f>
        <v>#REF!</v>
      </c>
    </row>
    <row r="2002" spans="18:18">
      <c r="R2002" s="137" t="e" cm="1">
        <f t="array" ref="R2002">_xlfn._xlws.FILTER(#REF!, E2002:P2002=MIN(E2002:P2002))</f>
        <v>#REF!</v>
      </c>
    </row>
    <row r="2003" spans="18:18">
      <c r="R2003" s="137" t="e" cm="1">
        <f t="array" ref="R2003">_xlfn._xlws.FILTER(#REF!, E2003:P2003=MIN(E2003:P2003))</f>
        <v>#REF!</v>
      </c>
    </row>
    <row r="2004" spans="18:18">
      <c r="R2004" s="137" t="e" cm="1">
        <f t="array" ref="R2004">_xlfn._xlws.FILTER(#REF!, E2004:P2004=MIN(E2004:P2004))</f>
        <v>#REF!</v>
      </c>
    </row>
    <row r="2005" spans="18:18">
      <c r="R2005" s="137" t="e" cm="1">
        <f t="array" ref="R2005">_xlfn._xlws.FILTER(#REF!, E2005:P2005=MIN(E2005:P2005))</f>
        <v>#REF!</v>
      </c>
    </row>
    <row r="2006" spans="18:18">
      <c r="R2006" s="137" t="e" cm="1">
        <f t="array" ref="R2006">_xlfn._xlws.FILTER(#REF!, E2006:P2006=MIN(E2006:P2006))</f>
        <v>#REF!</v>
      </c>
    </row>
    <row r="2007" spans="18:18">
      <c r="R2007" s="137" t="e" cm="1">
        <f t="array" ref="R2007">_xlfn._xlws.FILTER(#REF!, E2007:P2007=MIN(E2007:P2007))</f>
        <v>#REF!</v>
      </c>
    </row>
    <row r="2008" spans="18:18">
      <c r="R2008" s="137" t="e" cm="1">
        <f t="array" ref="R2008">_xlfn._xlws.FILTER(#REF!, E2008:P2008=MIN(E2008:P2008))</f>
        <v>#REF!</v>
      </c>
    </row>
    <row r="2009" spans="18:18">
      <c r="R2009" s="137" t="e" cm="1">
        <f t="array" ref="R2009">_xlfn._xlws.FILTER(#REF!, E2009:P2009=MIN(E2009:P2009))</f>
        <v>#REF!</v>
      </c>
    </row>
    <row r="2010" spans="18:18">
      <c r="R2010" s="137" t="e" cm="1">
        <f t="array" ref="R2010">_xlfn._xlws.FILTER(#REF!, E2010:P2010=MIN(E2010:P2010))</f>
        <v>#REF!</v>
      </c>
    </row>
    <row r="2011" spans="18:18">
      <c r="R2011" s="137" t="e" cm="1">
        <f t="array" ref="R2011">_xlfn._xlws.FILTER(#REF!, E2011:P2011=MIN(E2011:P2011))</f>
        <v>#REF!</v>
      </c>
    </row>
    <row r="2012" spans="18:18">
      <c r="R2012" s="137" t="e" cm="1">
        <f t="array" ref="R2012">_xlfn._xlws.FILTER(#REF!, E2012:P2012=MIN(E2012:P2012))</f>
        <v>#REF!</v>
      </c>
    </row>
    <row r="2013" spans="18:18">
      <c r="R2013" s="137" t="e" cm="1">
        <f t="array" ref="R2013">_xlfn._xlws.FILTER(#REF!, E2013:P2013=MIN(E2013:P2013))</f>
        <v>#REF!</v>
      </c>
    </row>
    <row r="2014" spans="18:18">
      <c r="R2014" s="137" t="e" cm="1">
        <f t="array" ref="R2014">_xlfn._xlws.FILTER(#REF!, E2014:P2014=MIN(E2014:P2014))</f>
        <v>#REF!</v>
      </c>
    </row>
    <row r="2015" spans="18:18">
      <c r="R2015" s="137" t="e" cm="1">
        <f t="array" ref="R2015">_xlfn._xlws.FILTER(#REF!, E2015:P2015=MIN(E2015:P2015))</f>
        <v>#REF!</v>
      </c>
    </row>
    <row r="2016" spans="18:18">
      <c r="R2016" s="137" t="e" cm="1">
        <f t="array" ref="R2016">_xlfn._xlws.FILTER(#REF!, E2016:P2016=MIN(E2016:P2016))</f>
        <v>#REF!</v>
      </c>
    </row>
    <row r="2017" spans="18:18">
      <c r="R2017" s="137" t="e" cm="1">
        <f t="array" ref="R2017">_xlfn._xlws.FILTER(#REF!, E2017:P2017=MIN(E2017:P2017))</f>
        <v>#REF!</v>
      </c>
    </row>
    <row r="2018" spans="18:18">
      <c r="R2018" s="137" t="e" cm="1">
        <f t="array" ref="R2018">_xlfn._xlws.FILTER(#REF!, E2018:P2018=MIN(E2018:P2018))</f>
        <v>#REF!</v>
      </c>
    </row>
    <row r="2019" spans="18:18">
      <c r="R2019" s="137" t="e" cm="1">
        <f t="array" ref="R2019">_xlfn._xlws.FILTER(#REF!, E2019:P2019=MIN(E2019:P2019))</f>
        <v>#REF!</v>
      </c>
    </row>
    <row r="2020" spans="18:18">
      <c r="R2020" s="137" t="e" cm="1">
        <f t="array" ref="R2020">_xlfn._xlws.FILTER(#REF!, E2020:P2020=MIN(E2020:P2020))</f>
        <v>#REF!</v>
      </c>
    </row>
    <row r="2021" spans="18:18">
      <c r="R2021" s="137" t="e" cm="1">
        <f t="array" ref="R2021">_xlfn._xlws.FILTER(#REF!, E2021:P2021=MIN(E2021:P2021))</f>
        <v>#REF!</v>
      </c>
    </row>
    <row r="2022" spans="18:18">
      <c r="R2022" s="137" t="e" cm="1">
        <f t="array" ref="R2022">_xlfn._xlws.FILTER(#REF!, E2022:P2022=MIN(E2022:P2022))</f>
        <v>#REF!</v>
      </c>
    </row>
    <row r="2023" spans="18:18">
      <c r="R2023" s="137" t="e" cm="1">
        <f t="array" ref="R2023">_xlfn._xlws.FILTER(#REF!, E2023:P2023=MIN(E2023:P2023))</f>
        <v>#REF!</v>
      </c>
    </row>
    <row r="2024" spans="18:18">
      <c r="R2024" s="137" t="e" cm="1">
        <f t="array" ref="R2024">_xlfn._xlws.FILTER(#REF!, E2024:P2024=MIN(E2024:P2024))</f>
        <v>#REF!</v>
      </c>
    </row>
    <row r="2025" spans="18:18">
      <c r="R2025" s="137" t="e" cm="1">
        <f t="array" ref="R2025">_xlfn._xlws.FILTER(#REF!, E2025:P2025=MIN(E2025:P2025))</f>
        <v>#REF!</v>
      </c>
    </row>
    <row r="2026" spans="18:18">
      <c r="R2026" s="137" t="e" cm="1">
        <f t="array" ref="R2026">_xlfn._xlws.FILTER(#REF!, E2026:P2026=MIN(E2026:P2026))</f>
        <v>#REF!</v>
      </c>
    </row>
    <row r="2027" spans="18:18">
      <c r="R2027" s="137" t="e" cm="1">
        <f t="array" ref="R2027">_xlfn._xlws.FILTER(#REF!, E2027:P2027=MIN(E2027:P2027))</f>
        <v>#REF!</v>
      </c>
    </row>
    <row r="2028" spans="18:18">
      <c r="R2028" s="137" t="e" cm="1">
        <f t="array" ref="R2028">_xlfn._xlws.FILTER(#REF!, E2028:P2028=MIN(E2028:P2028))</f>
        <v>#REF!</v>
      </c>
    </row>
    <row r="2029" spans="18:18">
      <c r="R2029" s="137" t="e" cm="1">
        <f t="array" ref="R2029">_xlfn._xlws.FILTER(#REF!, E2029:P2029=MIN(E2029:P2029))</f>
        <v>#REF!</v>
      </c>
    </row>
    <row r="2030" spans="18:18">
      <c r="R2030" s="137" t="e" cm="1">
        <f t="array" ref="R2030">_xlfn._xlws.FILTER(#REF!, E2030:P2030=MIN(E2030:P2030))</f>
        <v>#REF!</v>
      </c>
    </row>
    <row r="2031" spans="18:18">
      <c r="R2031" s="137" t="e" cm="1">
        <f t="array" ref="R2031">_xlfn._xlws.FILTER(#REF!, E2031:P2031=MIN(E2031:P2031))</f>
        <v>#REF!</v>
      </c>
    </row>
    <row r="2032" spans="18:18">
      <c r="R2032" s="137" t="e" cm="1">
        <f t="array" ref="R2032">_xlfn._xlws.FILTER(#REF!, E2032:P2032=MIN(E2032:P2032))</f>
        <v>#REF!</v>
      </c>
    </row>
    <row r="2033" spans="18:18">
      <c r="R2033" s="137" t="e" cm="1">
        <f t="array" ref="R2033">_xlfn._xlws.FILTER(#REF!, E2033:P2033=MIN(E2033:P2033))</f>
        <v>#REF!</v>
      </c>
    </row>
    <row r="2034" spans="18:18">
      <c r="R2034" s="137" t="e" cm="1">
        <f t="array" ref="R2034">_xlfn._xlws.FILTER(#REF!, E2034:P2034=MIN(E2034:P2034))</f>
        <v>#REF!</v>
      </c>
    </row>
    <row r="2035" spans="18:18">
      <c r="R2035" s="137" t="e" cm="1">
        <f t="array" ref="R2035">_xlfn._xlws.FILTER(#REF!, E2035:P2035=MIN(E2035:P2035))</f>
        <v>#REF!</v>
      </c>
    </row>
    <row r="2036" spans="18:18">
      <c r="R2036" s="137" t="e" cm="1">
        <f t="array" ref="R2036">_xlfn._xlws.FILTER(#REF!, E2036:P2036=MIN(E2036:P2036))</f>
        <v>#REF!</v>
      </c>
    </row>
    <row r="2037" spans="18:18">
      <c r="R2037" s="137" t="e" cm="1">
        <f t="array" ref="R2037">_xlfn._xlws.FILTER(#REF!, E2037:P2037=MIN(E2037:P2037))</f>
        <v>#REF!</v>
      </c>
    </row>
    <row r="2038" spans="18:18">
      <c r="R2038" s="137" t="e" cm="1">
        <f t="array" ref="R2038">_xlfn._xlws.FILTER(#REF!, E2038:P2038=MIN(E2038:P2038))</f>
        <v>#REF!</v>
      </c>
    </row>
    <row r="2039" spans="18:18">
      <c r="R2039" s="137" t="e" cm="1">
        <f t="array" ref="R2039">_xlfn._xlws.FILTER(#REF!, E2039:P2039=MIN(E2039:P2039))</f>
        <v>#REF!</v>
      </c>
    </row>
    <row r="2040" spans="18:18">
      <c r="R2040" s="137" t="e" cm="1">
        <f t="array" ref="R2040">_xlfn._xlws.FILTER(#REF!, E2040:P2040=MIN(E2040:P2040))</f>
        <v>#REF!</v>
      </c>
    </row>
    <row r="2041" spans="18:18">
      <c r="R2041" s="137" t="e" cm="1">
        <f t="array" ref="R2041">_xlfn._xlws.FILTER(#REF!, E2041:P2041=MIN(E2041:P2041))</f>
        <v>#REF!</v>
      </c>
    </row>
    <row r="2042" spans="18:18">
      <c r="R2042" s="137" t="e" cm="1">
        <f t="array" ref="R2042">_xlfn._xlws.FILTER(#REF!, E2042:P2042=MIN(E2042:P2042))</f>
        <v>#REF!</v>
      </c>
    </row>
    <row r="2043" spans="18:18">
      <c r="R2043" s="137" t="e" cm="1">
        <f t="array" ref="R2043">_xlfn._xlws.FILTER(#REF!, E2043:P2043=MIN(E2043:P2043))</f>
        <v>#REF!</v>
      </c>
    </row>
    <row r="2044" spans="18:18">
      <c r="R2044" s="137" t="e" cm="1">
        <f t="array" ref="R2044">_xlfn._xlws.FILTER(#REF!, E2044:P2044=MIN(E2044:P2044))</f>
        <v>#REF!</v>
      </c>
    </row>
    <row r="2045" spans="18:18">
      <c r="R2045" s="137" t="e" cm="1">
        <f t="array" ref="R2045">_xlfn._xlws.FILTER(#REF!, E2045:P2045=MIN(E2045:P2045))</f>
        <v>#REF!</v>
      </c>
    </row>
    <row r="2046" spans="18:18">
      <c r="R2046" s="137" t="e" cm="1">
        <f t="array" ref="R2046">_xlfn._xlws.FILTER(#REF!, E2046:P2046=MIN(E2046:P2046))</f>
        <v>#REF!</v>
      </c>
    </row>
    <row r="2047" spans="18:18">
      <c r="R2047" s="137" t="e" cm="1">
        <f t="array" ref="R2047">_xlfn._xlws.FILTER(#REF!, E2047:P2047=MIN(E2047:P2047))</f>
        <v>#REF!</v>
      </c>
    </row>
    <row r="2048" spans="18:18">
      <c r="R2048" s="137" t="e" cm="1">
        <f t="array" ref="R2048">_xlfn._xlws.FILTER(#REF!, E2048:P2048=MIN(E2048:P2048))</f>
        <v>#REF!</v>
      </c>
    </row>
    <row r="2049" spans="18:18">
      <c r="R2049" s="137" t="e" cm="1">
        <f t="array" ref="R2049">_xlfn._xlws.FILTER(#REF!, E2049:P2049=MIN(E2049:P2049))</f>
        <v>#REF!</v>
      </c>
    </row>
    <row r="2050" spans="18:18">
      <c r="R2050" s="137" t="e" cm="1">
        <f t="array" ref="R2050">_xlfn._xlws.FILTER(#REF!, E2050:P2050=MIN(E2050:P2050))</f>
        <v>#REF!</v>
      </c>
    </row>
    <row r="2051" spans="18:18">
      <c r="R2051" s="137" t="e" cm="1">
        <f t="array" ref="R2051">_xlfn._xlws.FILTER(#REF!, E2051:P2051=MIN(E2051:P2051))</f>
        <v>#REF!</v>
      </c>
    </row>
    <row r="2052" spans="18:18">
      <c r="R2052" s="137" t="e" cm="1">
        <f t="array" ref="R2052">_xlfn._xlws.FILTER(#REF!, E2052:P2052=MIN(E2052:P2052))</f>
        <v>#REF!</v>
      </c>
    </row>
    <row r="2053" spans="18:18">
      <c r="R2053" s="137" t="e" cm="1">
        <f t="array" ref="R2053">_xlfn._xlws.FILTER(#REF!, E2053:P2053=MIN(E2053:P2053))</f>
        <v>#REF!</v>
      </c>
    </row>
    <row r="2054" spans="18:18">
      <c r="R2054" s="137" t="e" cm="1">
        <f t="array" ref="R2054">_xlfn._xlws.FILTER(#REF!, E2054:P2054=MIN(E2054:P2054))</f>
        <v>#REF!</v>
      </c>
    </row>
    <row r="2055" spans="18:18">
      <c r="R2055" s="137" t="e" cm="1">
        <f t="array" ref="R2055">_xlfn._xlws.FILTER(#REF!, E2055:P2055=MIN(E2055:P2055))</f>
        <v>#REF!</v>
      </c>
    </row>
    <row r="2056" spans="18:18">
      <c r="R2056" s="137" t="e" cm="1">
        <f t="array" ref="R2056">_xlfn._xlws.FILTER(#REF!, E2056:P2056=MIN(E2056:P2056))</f>
        <v>#REF!</v>
      </c>
    </row>
    <row r="2057" spans="18:18">
      <c r="R2057" s="137" t="e" cm="1">
        <f t="array" ref="R2057">_xlfn._xlws.FILTER(#REF!, E2057:P2057=MIN(E2057:P2057))</f>
        <v>#REF!</v>
      </c>
    </row>
    <row r="2058" spans="18:18">
      <c r="R2058" s="137" t="e" cm="1">
        <f t="array" ref="R2058">_xlfn._xlws.FILTER(#REF!, E2058:P2058=MIN(E2058:P2058))</f>
        <v>#REF!</v>
      </c>
    </row>
    <row r="2059" spans="18:18">
      <c r="R2059" s="137" t="e" cm="1">
        <f t="array" ref="R2059">_xlfn._xlws.FILTER(#REF!, E2059:P2059=MIN(E2059:P2059))</f>
        <v>#REF!</v>
      </c>
    </row>
    <row r="2060" spans="18:18">
      <c r="R2060" s="137" t="e" cm="1">
        <f t="array" ref="R2060">_xlfn._xlws.FILTER(#REF!, E2060:P2060=MIN(E2060:P2060))</f>
        <v>#REF!</v>
      </c>
    </row>
    <row r="2061" spans="18:18">
      <c r="R2061" s="137" t="e" cm="1">
        <f t="array" ref="R2061">_xlfn._xlws.FILTER(#REF!, E2061:P2061=MIN(E2061:P2061))</f>
        <v>#REF!</v>
      </c>
    </row>
    <row r="2062" spans="18:18">
      <c r="R2062" s="137" t="e" cm="1">
        <f t="array" ref="R2062">_xlfn._xlws.FILTER(#REF!, E2062:P2062=MIN(E2062:P2062))</f>
        <v>#REF!</v>
      </c>
    </row>
    <row r="2063" spans="18:18">
      <c r="R2063" s="137" t="e" cm="1">
        <f t="array" ref="R2063">_xlfn._xlws.FILTER(#REF!, E2063:P2063=MIN(E2063:P2063))</f>
        <v>#REF!</v>
      </c>
    </row>
    <row r="2064" spans="18:18">
      <c r="R2064" s="137" t="e" cm="1">
        <f t="array" ref="R2064">_xlfn._xlws.FILTER(#REF!, E2064:P2064=MIN(E2064:P2064))</f>
        <v>#REF!</v>
      </c>
    </row>
    <row r="2065" spans="18:18">
      <c r="R2065" s="137" t="e" cm="1">
        <f t="array" ref="R2065">_xlfn._xlws.FILTER(#REF!, E2065:P2065=MIN(E2065:P2065))</f>
        <v>#REF!</v>
      </c>
    </row>
    <row r="2066" spans="18:18">
      <c r="R2066" s="137" t="e" cm="1">
        <f t="array" ref="R2066">_xlfn._xlws.FILTER(#REF!, E2066:P2066=MIN(E2066:P2066))</f>
        <v>#REF!</v>
      </c>
    </row>
    <row r="2067" spans="18:18">
      <c r="R2067" s="137" t="e" cm="1">
        <f t="array" ref="R2067">_xlfn._xlws.FILTER(#REF!, E2067:P2067=MIN(E2067:P2067))</f>
        <v>#REF!</v>
      </c>
    </row>
    <row r="2068" spans="18:18">
      <c r="R2068" s="137" t="e" cm="1">
        <f t="array" ref="R2068">_xlfn._xlws.FILTER(#REF!, E2068:P2068=MIN(E2068:P2068))</f>
        <v>#REF!</v>
      </c>
    </row>
    <row r="2069" spans="18:18">
      <c r="R2069" s="137" t="e" cm="1">
        <f t="array" ref="R2069">_xlfn._xlws.FILTER(#REF!, E2069:P2069=MIN(E2069:P2069))</f>
        <v>#REF!</v>
      </c>
    </row>
    <row r="2070" spans="18:18">
      <c r="R2070" s="137" t="e" cm="1">
        <f t="array" ref="R2070">_xlfn._xlws.FILTER(#REF!, E2070:P2070=MIN(E2070:P2070))</f>
        <v>#REF!</v>
      </c>
    </row>
    <row r="2071" spans="18:18">
      <c r="R2071" s="137" t="e" cm="1">
        <f t="array" ref="R2071">_xlfn._xlws.FILTER(#REF!, E2071:P2071=MIN(E2071:P2071))</f>
        <v>#REF!</v>
      </c>
    </row>
    <row r="2072" spans="18:18">
      <c r="R2072" s="137" t="e" cm="1">
        <f t="array" ref="R2072">_xlfn._xlws.FILTER(#REF!, E2072:P2072=MIN(E2072:P2072))</f>
        <v>#REF!</v>
      </c>
    </row>
    <row r="2073" spans="18:18">
      <c r="R2073" s="137" t="e" cm="1">
        <f t="array" ref="R2073">_xlfn._xlws.FILTER(#REF!, E2073:P2073=MIN(E2073:P2073))</f>
        <v>#REF!</v>
      </c>
    </row>
    <row r="2074" spans="18:18">
      <c r="R2074" s="137" t="e" cm="1">
        <f t="array" ref="R2074">_xlfn._xlws.FILTER(#REF!, E2074:P2074=MIN(E2074:P2074))</f>
        <v>#REF!</v>
      </c>
    </row>
    <row r="2075" spans="18:18">
      <c r="R2075" s="137" t="e" cm="1">
        <f t="array" ref="R2075">_xlfn._xlws.FILTER(#REF!, E2075:P2075=MIN(E2075:P2075))</f>
        <v>#REF!</v>
      </c>
    </row>
    <row r="2076" spans="18:18">
      <c r="R2076" s="137" t="e" cm="1">
        <f t="array" ref="R2076">_xlfn._xlws.FILTER(#REF!, E2076:P2076=MIN(E2076:P2076))</f>
        <v>#REF!</v>
      </c>
    </row>
    <row r="2077" spans="18:18">
      <c r="R2077" s="137" t="e" cm="1">
        <f t="array" ref="R2077">_xlfn._xlws.FILTER(#REF!, E2077:P2077=MIN(E2077:P2077))</f>
        <v>#REF!</v>
      </c>
    </row>
    <row r="2078" spans="18:18">
      <c r="R2078" s="137" t="e" cm="1">
        <f t="array" ref="R2078">_xlfn._xlws.FILTER(#REF!, E2078:P2078=MIN(E2078:P2078))</f>
        <v>#REF!</v>
      </c>
    </row>
    <row r="2079" spans="18:18">
      <c r="R2079" s="137" t="e" cm="1">
        <f t="array" ref="R2079">_xlfn._xlws.FILTER(#REF!, E2079:P2079=MIN(E2079:P2079))</f>
        <v>#REF!</v>
      </c>
    </row>
    <row r="2080" spans="18:18">
      <c r="R2080" s="137" t="e" cm="1">
        <f t="array" ref="R2080">_xlfn._xlws.FILTER(#REF!, E2080:P2080=MIN(E2080:P2080))</f>
        <v>#REF!</v>
      </c>
    </row>
    <row r="2081" spans="18:18">
      <c r="R2081" s="137" t="e" cm="1">
        <f t="array" ref="R2081">_xlfn._xlws.FILTER(#REF!, E2081:P2081=MIN(E2081:P2081))</f>
        <v>#REF!</v>
      </c>
    </row>
    <row r="2082" spans="18:18">
      <c r="R2082" s="137" t="e" cm="1">
        <f t="array" ref="R2082">_xlfn._xlws.FILTER(#REF!, E2082:P2082=MIN(E2082:P2082))</f>
        <v>#REF!</v>
      </c>
    </row>
    <row r="2083" spans="18:18">
      <c r="R2083" s="137" t="e" cm="1">
        <f t="array" ref="R2083">_xlfn._xlws.FILTER(#REF!, E2083:P2083=MIN(E2083:P2083))</f>
        <v>#REF!</v>
      </c>
    </row>
    <row r="2084" spans="18:18">
      <c r="R2084" s="137" t="e" cm="1">
        <f t="array" ref="R2084">_xlfn._xlws.FILTER(#REF!, E2084:P2084=MIN(E2084:P2084))</f>
        <v>#REF!</v>
      </c>
    </row>
    <row r="2085" spans="18:18">
      <c r="R2085" s="137" t="e" cm="1">
        <f t="array" ref="R2085">_xlfn._xlws.FILTER(#REF!, E2085:P2085=MIN(E2085:P2085))</f>
        <v>#REF!</v>
      </c>
    </row>
    <row r="2086" spans="18:18">
      <c r="R2086" s="137" t="e" cm="1">
        <f t="array" ref="R2086">_xlfn._xlws.FILTER(#REF!, E2086:P2086=MIN(E2086:P2086))</f>
        <v>#REF!</v>
      </c>
    </row>
    <row r="2087" spans="18:18">
      <c r="R2087" s="137" t="e" cm="1">
        <f t="array" ref="R2087">_xlfn._xlws.FILTER(#REF!, E2087:P2087=MIN(E2087:P2087))</f>
        <v>#REF!</v>
      </c>
    </row>
    <row r="2088" spans="18:18">
      <c r="R2088" s="137" t="e" cm="1">
        <f t="array" ref="R2088">_xlfn._xlws.FILTER(#REF!, E2088:P2088=MIN(E2088:P2088))</f>
        <v>#REF!</v>
      </c>
    </row>
    <row r="2089" spans="18:18">
      <c r="R2089" s="137" t="e" cm="1">
        <f t="array" ref="R2089">_xlfn._xlws.FILTER(#REF!, E2089:P2089=MIN(E2089:P2089))</f>
        <v>#REF!</v>
      </c>
    </row>
    <row r="2090" spans="18:18">
      <c r="R2090" s="137" t="e" cm="1">
        <f t="array" ref="R2090">_xlfn._xlws.FILTER(#REF!, E2090:P2090=MIN(E2090:P2090))</f>
        <v>#REF!</v>
      </c>
    </row>
    <row r="2091" spans="18:18">
      <c r="R2091" s="137" t="e" cm="1">
        <f t="array" ref="R2091">_xlfn._xlws.FILTER(#REF!, E2091:P2091=MIN(E2091:P2091))</f>
        <v>#REF!</v>
      </c>
    </row>
    <row r="2092" spans="18:18">
      <c r="R2092" s="137" t="e" cm="1">
        <f t="array" ref="R2092">_xlfn._xlws.FILTER(#REF!, E2092:P2092=MIN(E2092:P2092))</f>
        <v>#REF!</v>
      </c>
    </row>
    <row r="2093" spans="18:18">
      <c r="R2093" s="137" t="e" cm="1">
        <f t="array" ref="R2093">_xlfn._xlws.FILTER(#REF!, E2093:P2093=MIN(E2093:P2093))</f>
        <v>#REF!</v>
      </c>
    </row>
    <row r="2094" spans="18:18">
      <c r="R2094" s="137" t="e" cm="1">
        <f t="array" ref="R2094">_xlfn._xlws.FILTER(#REF!, E2094:P2094=MIN(E2094:P2094))</f>
        <v>#REF!</v>
      </c>
    </row>
    <row r="2095" spans="18:18">
      <c r="R2095" s="137" t="e" cm="1">
        <f t="array" ref="R2095">_xlfn._xlws.FILTER(#REF!, E2095:P2095=MIN(E2095:P2095))</f>
        <v>#REF!</v>
      </c>
    </row>
    <row r="2096" spans="18:18">
      <c r="R2096" s="137" t="e" cm="1">
        <f t="array" ref="R2096">_xlfn._xlws.FILTER(#REF!, E2096:P2096=MIN(E2096:P2096))</f>
        <v>#REF!</v>
      </c>
    </row>
    <row r="2097" spans="18:18">
      <c r="R2097" s="137" t="e" cm="1">
        <f t="array" ref="R2097">_xlfn._xlws.FILTER(#REF!, E2097:P2097=MIN(E2097:P2097))</f>
        <v>#REF!</v>
      </c>
    </row>
    <row r="2098" spans="18:18">
      <c r="R2098" s="137" t="e" cm="1">
        <f t="array" ref="R2098">_xlfn._xlws.FILTER(#REF!, E2098:P2098=MIN(E2098:P2098))</f>
        <v>#REF!</v>
      </c>
    </row>
    <row r="2099" spans="18:18">
      <c r="R2099" s="137" t="e" cm="1">
        <f t="array" ref="R2099">_xlfn._xlws.FILTER(#REF!, E2099:P2099=MIN(E2099:P2099))</f>
        <v>#REF!</v>
      </c>
    </row>
    <row r="2100" spans="18:18">
      <c r="R2100" s="137" t="e" cm="1">
        <f t="array" ref="R2100">_xlfn._xlws.FILTER(#REF!, E2100:P2100=MIN(E2100:P2100))</f>
        <v>#REF!</v>
      </c>
    </row>
    <row r="2101" spans="18:18">
      <c r="R2101" s="137" t="e" cm="1">
        <f t="array" ref="R2101">_xlfn._xlws.FILTER(#REF!, E2101:P2101=MIN(E2101:P2101))</f>
        <v>#REF!</v>
      </c>
    </row>
    <row r="2102" spans="18:18">
      <c r="R2102" s="137" t="e" cm="1">
        <f t="array" ref="R2102">_xlfn._xlws.FILTER(#REF!, E2102:P2102=MIN(E2102:P2102))</f>
        <v>#REF!</v>
      </c>
    </row>
    <row r="2103" spans="18:18">
      <c r="R2103" s="137" t="e" cm="1">
        <f t="array" ref="R2103">_xlfn._xlws.FILTER(#REF!, E2103:P2103=MIN(E2103:P2103))</f>
        <v>#REF!</v>
      </c>
    </row>
    <row r="2104" spans="18:18">
      <c r="R2104" s="137" t="e" cm="1">
        <f t="array" ref="R2104">_xlfn._xlws.FILTER(#REF!, E2104:P2104=MIN(E2104:P2104))</f>
        <v>#REF!</v>
      </c>
    </row>
    <row r="2105" spans="18:18">
      <c r="R2105" s="137" t="e" cm="1">
        <f t="array" ref="R2105">_xlfn._xlws.FILTER(#REF!, E2105:P2105=MIN(E2105:P2105))</f>
        <v>#REF!</v>
      </c>
    </row>
    <row r="2106" spans="18:18">
      <c r="R2106" s="137" t="e" cm="1">
        <f t="array" ref="R2106">_xlfn._xlws.FILTER(#REF!, E2106:P2106=MIN(E2106:P2106))</f>
        <v>#REF!</v>
      </c>
    </row>
    <row r="2107" spans="18:18">
      <c r="R2107" s="137" t="e" cm="1">
        <f t="array" ref="R2107">_xlfn._xlws.FILTER(#REF!, E2107:P2107=MIN(E2107:P2107))</f>
        <v>#REF!</v>
      </c>
    </row>
    <row r="2108" spans="18:18">
      <c r="R2108" s="137" t="e" cm="1">
        <f t="array" ref="R2108">_xlfn._xlws.FILTER(#REF!, E2108:P2108=MIN(E2108:P2108))</f>
        <v>#REF!</v>
      </c>
    </row>
    <row r="2109" spans="18:18">
      <c r="R2109" s="137" t="e" cm="1">
        <f t="array" ref="R2109">_xlfn._xlws.FILTER(#REF!, E2109:P2109=MIN(E2109:P2109))</f>
        <v>#REF!</v>
      </c>
    </row>
    <row r="2110" spans="18:18">
      <c r="R2110" s="137" t="e" cm="1">
        <f t="array" ref="R2110">_xlfn._xlws.FILTER(#REF!, E2110:P2110=MIN(E2110:P2110))</f>
        <v>#REF!</v>
      </c>
    </row>
    <row r="2111" spans="18:18">
      <c r="R2111" s="137" t="e" cm="1">
        <f t="array" ref="R2111">_xlfn._xlws.FILTER(#REF!, E2111:P2111=MIN(E2111:P2111))</f>
        <v>#REF!</v>
      </c>
    </row>
    <row r="2112" spans="18:18">
      <c r="R2112" s="137" t="e" cm="1">
        <f t="array" ref="R2112">_xlfn._xlws.FILTER(#REF!, E2112:P2112=MIN(E2112:P2112))</f>
        <v>#REF!</v>
      </c>
    </row>
    <row r="2113" spans="18:18">
      <c r="R2113" s="137" t="e" cm="1">
        <f t="array" ref="R2113">_xlfn._xlws.FILTER(#REF!, E2113:P2113=MIN(E2113:P2113))</f>
        <v>#REF!</v>
      </c>
    </row>
    <row r="2114" spans="18:18">
      <c r="R2114" s="137" t="e" cm="1">
        <f t="array" ref="R2114">_xlfn._xlws.FILTER(#REF!, E2114:P2114=MIN(E2114:P2114))</f>
        <v>#REF!</v>
      </c>
    </row>
    <row r="2115" spans="18:18">
      <c r="R2115" s="137" t="e" cm="1">
        <f t="array" ref="R2115">_xlfn._xlws.FILTER(#REF!, E2115:P2115=MIN(E2115:P2115))</f>
        <v>#REF!</v>
      </c>
    </row>
    <row r="2116" spans="18:18">
      <c r="R2116" s="137" t="e" cm="1">
        <f t="array" ref="R2116">_xlfn._xlws.FILTER(#REF!, E2116:P2116=MIN(E2116:P2116))</f>
        <v>#REF!</v>
      </c>
    </row>
    <row r="2117" spans="18:18">
      <c r="R2117" s="137" t="e" cm="1">
        <f t="array" ref="R2117">_xlfn._xlws.FILTER(#REF!, E2117:P2117=MIN(E2117:P2117))</f>
        <v>#REF!</v>
      </c>
    </row>
    <row r="2118" spans="18:18">
      <c r="R2118" s="137" t="e" cm="1">
        <f t="array" ref="R2118">_xlfn._xlws.FILTER(#REF!, E2118:P2118=MIN(E2118:P2118))</f>
        <v>#REF!</v>
      </c>
    </row>
    <row r="2119" spans="18:18">
      <c r="R2119" s="137" t="e" cm="1">
        <f t="array" ref="R2119">_xlfn._xlws.FILTER(#REF!, E2119:P2119=MIN(E2119:P2119))</f>
        <v>#REF!</v>
      </c>
    </row>
    <row r="2120" spans="18:18">
      <c r="R2120" s="137" t="e" cm="1">
        <f t="array" ref="R2120">_xlfn._xlws.FILTER(#REF!, E2120:P2120=MIN(E2120:P2120))</f>
        <v>#REF!</v>
      </c>
    </row>
    <row r="2121" spans="18:18">
      <c r="R2121" s="137" t="e" cm="1">
        <f t="array" ref="R2121">_xlfn._xlws.FILTER(#REF!, E2121:P2121=MIN(E2121:P2121))</f>
        <v>#REF!</v>
      </c>
    </row>
    <row r="2122" spans="18:18">
      <c r="R2122" s="137" t="e" cm="1">
        <f t="array" ref="R2122">_xlfn._xlws.FILTER(#REF!, E2122:P2122=MIN(E2122:P2122))</f>
        <v>#REF!</v>
      </c>
    </row>
    <row r="2123" spans="18:18">
      <c r="R2123" s="137" t="e" cm="1">
        <f t="array" ref="R2123">_xlfn._xlws.FILTER(#REF!, E2123:P2123=MIN(E2123:P2123))</f>
        <v>#REF!</v>
      </c>
    </row>
    <row r="2124" spans="18:18">
      <c r="R2124" s="137" t="e" cm="1">
        <f t="array" ref="R2124">_xlfn._xlws.FILTER(#REF!, E2124:P2124=MIN(E2124:P2124))</f>
        <v>#REF!</v>
      </c>
    </row>
    <row r="2125" spans="18:18">
      <c r="R2125" s="137" t="e" cm="1">
        <f t="array" ref="R2125">_xlfn._xlws.FILTER(#REF!, E2125:P2125=MIN(E2125:P2125))</f>
        <v>#REF!</v>
      </c>
    </row>
    <row r="2126" spans="18:18">
      <c r="R2126" s="137" t="e" cm="1">
        <f t="array" ref="R2126">_xlfn._xlws.FILTER(#REF!, E2126:P2126=MIN(E2126:P2126))</f>
        <v>#REF!</v>
      </c>
    </row>
    <row r="2127" spans="18:18">
      <c r="R2127" s="137" t="e" cm="1">
        <f t="array" ref="R2127">_xlfn._xlws.FILTER(#REF!, E2127:P2127=MIN(E2127:P2127))</f>
        <v>#REF!</v>
      </c>
    </row>
    <row r="2128" spans="18:18">
      <c r="R2128" s="137" t="e" cm="1">
        <f t="array" ref="R2128">_xlfn._xlws.FILTER(#REF!, E2128:P2128=MIN(E2128:P2128))</f>
        <v>#REF!</v>
      </c>
    </row>
    <row r="2129" spans="18:18">
      <c r="R2129" s="137" t="e" cm="1">
        <f t="array" ref="R2129">_xlfn._xlws.FILTER(#REF!, E2129:P2129=MIN(E2129:P2129))</f>
        <v>#REF!</v>
      </c>
    </row>
    <row r="2130" spans="18:18">
      <c r="R2130" s="137" t="e" cm="1">
        <f t="array" ref="R2130">_xlfn._xlws.FILTER(#REF!, E2130:P2130=MIN(E2130:P2130))</f>
        <v>#REF!</v>
      </c>
    </row>
    <row r="2131" spans="18:18">
      <c r="R2131" s="137" t="e" cm="1">
        <f t="array" ref="R2131">_xlfn._xlws.FILTER(#REF!, E2131:P2131=MIN(E2131:P2131))</f>
        <v>#REF!</v>
      </c>
    </row>
    <row r="2132" spans="18:18">
      <c r="R2132" s="137" t="e" cm="1">
        <f t="array" ref="R2132">_xlfn._xlws.FILTER(#REF!, E2132:P2132=MIN(E2132:P2132))</f>
        <v>#REF!</v>
      </c>
    </row>
    <row r="2133" spans="18:18">
      <c r="R2133" s="137" t="e" cm="1">
        <f t="array" ref="R2133">_xlfn._xlws.FILTER(#REF!, E2133:P2133=MIN(E2133:P2133))</f>
        <v>#REF!</v>
      </c>
    </row>
    <row r="2134" spans="18:18">
      <c r="R2134" s="137" t="e" cm="1">
        <f t="array" ref="R2134">_xlfn._xlws.FILTER(#REF!, E2134:P2134=MIN(E2134:P2134))</f>
        <v>#REF!</v>
      </c>
    </row>
    <row r="2135" spans="18:18">
      <c r="R2135" s="137" t="e" cm="1">
        <f t="array" ref="R2135">_xlfn._xlws.FILTER(#REF!, E2135:P2135=MIN(E2135:P2135))</f>
        <v>#REF!</v>
      </c>
    </row>
    <row r="2136" spans="18:18">
      <c r="R2136" s="137" t="e" cm="1">
        <f t="array" ref="R2136">_xlfn._xlws.FILTER(#REF!, E2136:P2136=MIN(E2136:P2136))</f>
        <v>#REF!</v>
      </c>
    </row>
    <row r="2137" spans="18:18">
      <c r="R2137" s="137" t="e" cm="1">
        <f t="array" ref="R2137">_xlfn._xlws.FILTER(#REF!, E2137:P2137=MIN(E2137:P2137))</f>
        <v>#REF!</v>
      </c>
    </row>
    <row r="2138" spans="18:18">
      <c r="R2138" s="137" t="e" cm="1">
        <f t="array" ref="R2138">_xlfn._xlws.FILTER(#REF!, E2138:P2138=MIN(E2138:P2138))</f>
        <v>#REF!</v>
      </c>
    </row>
    <row r="2139" spans="18:18">
      <c r="R2139" s="137" t="e" cm="1">
        <f t="array" ref="R2139">_xlfn._xlws.FILTER(#REF!, E2139:P2139=MIN(E2139:P2139))</f>
        <v>#REF!</v>
      </c>
    </row>
    <row r="2140" spans="18:18">
      <c r="R2140" s="137" t="e" cm="1">
        <f t="array" ref="R2140">_xlfn._xlws.FILTER(#REF!, E2140:P2140=MIN(E2140:P2140))</f>
        <v>#REF!</v>
      </c>
    </row>
    <row r="2141" spans="18:18">
      <c r="R2141" s="137" t="e" cm="1">
        <f t="array" ref="R2141">_xlfn._xlws.FILTER(#REF!, E2141:P2141=MIN(E2141:P2141))</f>
        <v>#REF!</v>
      </c>
    </row>
    <row r="2142" spans="18:18">
      <c r="R2142" s="137" t="e" cm="1">
        <f t="array" ref="R2142">_xlfn._xlws.FILTER(#REF!, E2142:P2142=MIN(E2142:P2142))</f>
        <v>#REF!</v>
      </c>
    </row>
    <row r="2143" spans="18:18">
      <c r="R2143" s="137" t="e" cm="1">
        <f t="array" ref="R2143">_xlfn._xlws.FILTER(#REF!, E2143:P2143=MIN(E2143:P2143))</f>
        <v>#REF!</v>
      </c>
    </row>
    <row r="2144" spans="18:18">
      <c r="R2144" s="137" t="e" cm="1">
        <f t="array" ref="R2144">_xlfn._xlws.FILTER(#REF!, E2144:P2144=MIN(E2144:P2144))</f>
        <v>#REF!</v>
      </c>
    </row>
    <row r="2145" spans="18:18">
      <c r="R2145" s="137" t="e" cm="1">
        <f t="array" ref="R2145">_xlfn._xlws.FILTER(#REF!, E2145:P2145=MIN(E2145:P2145))</f>
        <v>#REF!</v>
      </c>
    </row>
    <row r="2146" spans="18:18">
      <c r="R2146" s="137" t="e" cm="1">
        <f t="array" ref="R2146">_xlfn._xlws.FILTER(#REF!, E2146:P2146=MIN(E2146:P2146))</f>
        <v>#REF!</v>
      </c>
    </row>
    <row r="2147" spans="18:18">
      <c r="R2147" s="137" t="e" cm="1">
        <f t="array" ref="R2147">_xlfn._xlws.FILTER(#REF!, E2147:P2147=MIN(E2147:P2147))</f>
        <v>#REF!</v>
      </c>
    </row>
    <row r="2148" spans="18:18">
      <c r="R2148" s="137" t="e" cm="1">
        <f t="array" ref="R2148">_xlfn._xlws.FILTER(#REF!, E2148:P2148=MIN(E2148:P2148))</f>
        <v>#REF!</v>
      </c>
    </row>
    <row r="2149" spans="18:18">
      <c r="R2149" s="137" t="e" cm="1">
        <f t="array" ref="R2149">_xlfn._xlws.FILTER(#REF!, E2149:P2149=MIN(E2149:P2149))</f>
        <v>#REF!</v>
      </c>
    </row>
    <row r="2150" spans="18:18">
      <c r="R2150" s="137" t="e" cm="1">
        <f t="array" ref="R2150">_xlfn._xlws.FILTER(#REF!, E2150:P2150=MIN(E2150:P2150))</f>
        <v>#REF!</v>
      </c>
    </row>
    <row r="2151" spans="18:18">
      <c r="R2151" s="137" t="e" cm="1">
        <f t="array" ref="R2151">_xlfn._xlws.FILTER(#REF!, E2151:P2151=MIN(E2151:P2151))</f>
        <v>#REF!</v>
      </c>
    </row>
    <row r="2152" spans="18:18">
      <c r="R2152" s="137" t="e" cm="1">
        <f t="array" ref="R2152">_xlfn._xlws.FILTER(#REF!, E2152:P2152=MIN(E2152:P2152))</f>
        <v>#REF!</v>
      </c>
    </row>
    <row r="2153" spans="18:18">
      <c r="R2153" s="137" t="e" cm="1">
        <f t="array" ref="R2153">_xlfn._xlws.FILTER(#REF!, E2153:P2153=MIN(E2153:P2153))</f>
        <v>#REF!</v>
      </c>
    </row>
    <row r="2154" spans="18:18">
      <c r="R2154" s="137" t="e" cm="1">
        <f t="array" ref="R2154">_xlfn._xlws.FILTER(#REF!, E2154:P2154=MIN(E2154:P2154))</f>
        <v>#REF!</v>
      </c>
    </row>
    <row r="2155" spans="18:18">
      <c r="R2155" s="137" t="e" cm="1">
        <f t="array" ref="R2155">_xlfn._xlws.FILTER(#REF!, E2155:P2155=MIN(E2155:P2155))</f>
        <v>#REF!</v>
      </c>
    </row>
    <row r="2156" spans="18:18">
      <c r="R2156" s="137" t="e" cm="1">
        <f t="array" ref="R2156">_xlfn._xlws.FILTER(#REF!, E2156:P2156=MIN(E2156:P2156))</f>
        <v>#REF!</v>
      </c>
    </row>
    <row r="2157" spans="18:18">
      <c r="R2157" s="137" t="e" cm="1">
        <f t="array" ref="R2157">_xlfn._xlws.FILTER(#REF!, E2157:P2157=MIN(E2157:P2157))</f>
        <v>#REF!</v>
      </c>
    </row>
    <row r="2158" spans="18:18">
      <c r="R2158" s="137" t="e" cm="1">
        <f t="array" ref="R2158">_xlfn._xlws.FILTER(#REF!, E2158:P2158=MIN(E2158:P2158))</f>
        <v>#REF!</v>
      </c>
    </row>
    <row r="2159" spans="18:18">
      <c r="R2159" s="137" t="e" cm="1">
        <f t="array" ref="R2159">_xlfn._xlws.FILTER(#REF!, E2159:P2159=MIN(E2159:P2159))</f>
        <v>#REF!</v>
      </c>
    </row>
    <row r="2160" spans="18:18">
      <c r="R2160" s="137" t="e" cm="1">
        <f t="array" ref="R2160">_xlfn._xlws.FILTER(#REF!, E2160:P2160=MIN(E2160:P2160))</f>
        <v>#REF!</v>
      </c>
    </row>
    <row r="2161" spans="18:18">
      <c r="R2161" s="137" t="e" cm="1">
        <f t="array" ref="R2161">_xlfn._xlws.FILTER(#REF!, E2161:P2161=MIN(E2161:P2161))</f>
        <v>#REF!</v>
      </c>
    </row>
    <row r="2162" spans="18:18">
      <c r="R2162" s="137" t="e" cm="1">
        <f t="array" ref="R2162">_xlfn._xlws.FILTER(#REF!, E2162:P2162=MIN(E2162:P2162))</f>
        <v>#REF!</v>
      </c>
    </row>
    <row r="2163" spans="18:18">
      <c r="R2163" s="137" t="e" cm="1">
        <f t="array" ref="R2163">_xlfn._xlws.FILTER(#REF!, E2163:P2163=MIN(E2163:P2163))</f>
        <v>#REF!</v>
      </c>
    </row>
    <row r="2164" spans="18:18">
      <c r="R2164" s="137" t="e" cm="1">
        <f t="array" ref="R2164">_xlfn._xlws.FILTER(#REF!, E2164:P2164=MIN(E2164:P2164))</f>
        <v>#REF!</v>
      </c>
    </row>
    <row r="2165" spans="18:18">
      <c r="R2165" s="137" t="e" cm="1">
        <f t="array" ref="R2165">_xlfn._xlws.FILTER(#REF!, E2165:P2165=MIN(E2165:P2165))</f>
        <v>#REF!</v>
      </c>
    </row>
    <row r="2166" spans="18:18">
      <c r="R2166" s="137" t="e" cm="1">
        <f t="array" ref="R2166">_xlfn._xlws.FILTER(#REF!, E2166:P2166=MIN(E2166:P2166))</f>
        <v>#REF!</v>
      </c>
    </row>
    <row r="2167" spans="18:18">
      <c r="R2167" s="137" t="e" cm="1">
        <f t="array" ref="R2167">_xlfn._xlws.FILTER(#REF!, E2167:P2167=MIN(E2167:P2167))</f>
        <v>#REF!</v>
      </c>
    </row>
    <row r="2168" spans="18:18">
      <c r="R2168" s="137" t="e" cm="1">
        <f t="array" ref="R2168">_xlfn._xlws.FILTER(#REF!, E2168:P2168=MIN(E2168:P2168))</f>
        <v>#REF!</v>
      </c>
    </row>
    <row r="2169" spans="18:18">
      <c r="R2169" s="137" t="e" cm="1">
        <f t="array" ref="R2169">_xlfn._xlws.FILTER(#REF!, E2169:P2169=MIN(E2169:P2169))</f>
        <v>#REF!</v>
      </c>
    </row>
    <row r="2170" spans="18:18">
      <c r="R2170" s="137" t="e" cm="1">
        <f t="array" ref="R2170">_xlfn._xlws.FILTER(#REF!, E2170:P2170=MIN(E2170:P2170))</f>
        <v>#REF!</v>
      </c>
    </row>
    <row r="2171" spans="18:18">
      <c r="R2171" s="137" t="e" cm="1">
        <f t="array" ref="R2171">_xlfn._xlws.FILTER(#REF!, E2171:P2171=MIN(E2171:P2171))</f>
        <v>#REF!</v>
      </c>
    </row>
    <row r="2172" spans="18:18">
      <c r="R2172" s="137" t="e" cm="1">
        <f t="array" ref="R2172">_xlfn._xlws.FILTER(#REF!, E2172:P2172=MIN(E2172:P2172))</f>
        <v>#REF!</v>
      </c>
    </row>
    <row r="2173" spans="18:18">
      <c r="R2173" s="137" t="e" cm="1">
        <f t="array" ref="R2173">_xlfn._xlws.FILTER(#REF!, E2173:P2173=MIN(E2173:P2173))</f>
        <v>#REF!</v>
      </c>
    </row>
    <row r="2174" spans="18:18">
      <c r="R2174" s="137" t="e" cm="1">
        <f t="array" ref="R2174">_xlfn._xlws.FILTER(#REF!, E2174:P2174=MIN(E2174:P2174))</f>
        <v>#REF!</v>
      </c>
    </row>
    <row r="2175" spans="18:18">
      <c r="R2175" s="137" t="e" cm="1">
        <f t="array" ref="R2175">_xlfn._xlws.FILTER(#REF!, E2175:P2175=MIN(E2175:P2175))</f>
        <v>#REF!</v>
      </c>
    </row>
    <row r="2176" spans="18:18">
      <c r="R2176" s="137" t="e" cm="1">
        <f t="array" ref="R2176">_xlfn._xlws.FILTER(#REF!, E2176:P2176=MIN(E2176:P2176))</f>
        <v>#REF!</v>
      </c>
    </row>
    <row r="2177" spans="18:18">
      <c r="R2177" s="137" t="e" cm="1">
        <f t="array" ref="R2177">_xlfn._xlws.FILTER(#REF!, E2177:P2177=MIN(E2177:P2177))</f>
        <v>#REF!</v>
      </c>
    </row>
    <row r="2178" spans="18:18">
      <c r="R2178" s="137" t="e" cm="1">
        <f t="array" ref="R2178">_xlfn._xlws.FILTER(#REF!, E2178:P2178=MIN(E2178:P2178))</f>
        <v>#REF!</v>
      </c>
    </row>
    <row r="2179" spans="18:18">
      <c r="R2179" s="137" t="e" cm="1">
        <f t="array" ref="R2179">_xlfn._xlws.FILTER(#REF!, E2179:P2179=MIN(E2179:P2179))</f>
        <v>#REF!</v>
      </c>
    </row>
    <row r="2180" spans="18:18">
      <c r="R2180" s="137" t="e" cm="1">
        <f t="array" ref="R2180">_xlfn._xlws.FILTER(#REF!, E2180:P2180=MIN(E2180:P2180))</f>
        <v>#REF!</v>
      </c>
    </row>
    <row r="2181" spans="18:18">
      <c r="R2181" s="137" t="e" cm="1">
        <f t="array" ref="R2181">_xlfn._xlws.FILTER(#REF!, E2181:P2181=MIN(E2181:P2181))</f>
        <v>#REF!</v>
      </c>
    </row>
    <row r="2182" spans="18:18">
      <c r="R2182" s="137" t="e" cm="1">
        <f t="array" ref="R2182">_xlfn._xlws.FILTER(#REF!, E2182:P2182=MIN(E2182:P2182))</f>
        <v>#REF!</v>
      </c>
    </row>
    <row r="2183" spans="18:18">
      <c r="R2183" s="137" t="e" cm="1">
        <f t="array" ref="R2183">_xlfn._xlws.FILTER(#REF!, E2183:P2183=MIN(E2183:P2183))</f>
        <v>#REF!</v>
      </c>
    </row>
    <row r="2184" spans="18:18">
      <c r="R2184" s="137" t="e" cm="1">
        <f t="array" ref="R2184">_xlfn._xlws.FILTER(#REF!, E2184:P2184=MIN(E2184:P2184))</f>
        <v>#REF!</v>
      </c>
    </row>
    <row r="2185" spans="18:18">
      <c r="R2185" s="137" t="e" cm="1">
        <f t="array" ref="R2185">_xlfn._xlws.FILTER(#REF!, E2185:P2185=MIN(E2185:P2185))</f>
        <v>#REF!</v>
      </c>
    </row>
    <row r="2186" spans="18:18">
      <c r="R2186" s="137" t="e" cm="1">
        <f t="array" ref="R2186">_xlfn._xlws.FILTER(#REF!, E2186:P2186=MIN(E2186:P2186))</f>
        <v>#REF!</v>
      </c>
    </row>
    <row r="2187" spans="18:18">
      <c r="R2187" s="137" t="e" cm="1">
        <f t="array" ref="R2187">_xlfn._xlws.FILTER(#REF!, E2187:P2187=MIN(E2187:P2187))</f>
        <v>#REF!</v>
      </c>
    </row>
    <row r="2188" spans="18:18">
      <c r="R2188" s="137" t="e" cm="1">
        <f t="array" ref="R2188">_xlfn._xlws.FILTER(#REF!, E2188:P2188=MIN(E2188:P2188))</f>
        <v>#REF!</v>
      </c>
    </row>
    <row r="2189" spans="18:18">
      <c r="R2189" s="137" t="e" cm="1">
        <f t="array" ref="R2189">_xlfn._xlws.FILTER(#REF!, E2189:P2189=MIN(E2189:P2189))</f>
        <v>#REF!</v>
      </c>
    </row>
    <row r="2190" spans="18:18">
      <c r="R2190" s="137" t="e" cm="1">
        <f t="array" ref="R2190">_xlfn._xlws.FILTER(#REF!, E2190:P2190=MIN(E2190:P2190))</f>
        <v>#REF!</v>
      </c>
    </row>
    <row r="2191" spans="18:18">
      <c r="R2191" s="137" t="e" cm="1">
        <f t="array" ref="R2191">_xlfn._xlws.FILTER(#REF!, E2191:P2191=MIN(E2191:P2191))</f>
        <v>#REF!</v>
      </c>
    </row>
    <row r="2192" spans="18:18">
      <c r="R2192" s="137" t="e" cm="1">
        <f t="array" ref="R2192">_xlfn._xlws.FILTER(#REF!, E2192:P2192=MIN(E2192:P2192))</f>
        <v>#REF!</v>
      </c>
    </row>
    <row r="2193" spans="18:18">
      <c r="R2193" s="137" t="e" cm="1">
        <f t="array" ref="R2193">_xlfn._xlws.FILTER(#REF!, E2193:P2193=MIN(E2193:P2193))</f>
        <v>#REF!</v>
      </c>
    </row>
    <row r="2194" spans="18:18">
      <c r="R2194" s="137" t="e" cm="1">
        <f t="array" ref="R2194">_xlfn._xlws.FILTER(#REF!, E2194:P2194=MIN(E2194:P2194))</f>
        <v>#REF!</v>
      </c>
    </row>
    <row r="2195" spans="18:18">
      <c r="R2195" s="137" t="e" cm="1">
        <f t="array" ref="R2195">_xlfn._xlws.FILTER(#REF!, E2195:P2195=MIN(E2195:P2195))</f>
        <v>#REF!</v>
      </c>
    </row>
    <row r="2196" spans="18:18">
      <c r="R2196" s="137" t="e" cm="1">
        <f t="array" ref="R2196">_xlfn._xlws.FILTER(#REF!, E2196:P2196=MIN(E2196:P2196))</f>
        <v>#REF!</v>
      </c>
    </row>
    <row r="2197" spans="18:18">
      <c r="R2197" s="137" t="e" cm="1">
        <f t="array" ref="R2197">_xlfn._xlws.FILTER(#REF!, E2197:P2197=MIN(E2197:P2197))</f>
        <v>#REF!</v>
      </c>
    </row>
    <row r="2198" spans="18:18">
      <c r="R2198" s="137" t="e" cm="1">
        <f t="array" ref="R2198">_xlfn._xlws.FILTER(#REF!, E2198:P2198=MIN(E2198:P2198))</f>
        <v>#REF!</v>
      </c>
    </row>
    <row r="2199" spans="18:18">
      <c r="R2199" s="137" t="e" cm="1">
        <f t="array" ref="R2199">_xlfn._xlws.FILTER(#REF!, E2199:P2199=MIN(E2199:P2199))</f>
        <v>#REF!</v>
      </c>
    </row>
    <row r="2200" spans="18:18">
      <c r="R2200" s="137" t="e" cm="1">
        <f t="array" ref="R2200">_xlfn._xlws.FILTER(#REF!, E2200:P2200=MIN(E2200:P2200))</f>
        <v>#REF!</v>
      </c>
    </row>
    <row r="2201" spans="18:18">
      <c r="R2201" s="137" t="e" cm="1">
        <f t="array" ref="R2201">_xlfn._xlws.FILTER(#REF!, E2201:P2201=MIN(E2201:P2201))</f>
        <v>#REF!</v>
      </c>
    </row>
    <row r="2202" spans="18:18">
      <c r="R2202" s="137" t="e" cm="1">
        <f t="array" ref="R2202">_xlfn._xlws.FILTER(#REF!, E2202:P2202=MIN(E2202:P2202))</f>
        <v>#REF!</v>
      </c>
    </row>
    <row r="2203" spans="18:18">
      <c r="R2203" s="137" t="e" cm="1">
        <f t="array" ref="R2203">_xlfn._xlws.FILTER(#REF!, E2203:P2203=MIN(E2203:P2203))</f>
        <v>#REF!</v>
      </c>
    </row>
    <row r="2204" spans="18:18">
      <c r="R2204" s="137" t="e" cm="1">
        <f t="array" ref="R2204">_xlfn._xlws.FILTER(#REF!, E2204:P2204=MIN(E2204:P2204))</f>
        <v>#REF!</v>
      </c>
    </row>
    <row r="2205" spans="18:18">
      <c r="R2205" s="137" t="e" cm="1">
        <f t="array" ref="R2205">_xlfn._xlws.FILTER(#REF!, E2205:P2205=MIN(E2205:P2205))</f>
        <v>#REF!</v>
      </c>
    </row>
    <row r="2206" spans="18:18">
      <c r="R2206" s="137" t="e" cm="1">
        <f t="array" ref="R2206">_xlfn._xlws.FILTER(#REF!, E2206:P2206=MIN(E2206:P2206))</f>
        <v>#REF!</v>
      </c>
    </row>
    <row r="2207" spans="18:18">
      <c r="R2207" s="137" t="e" cm="1">
        <f t="array" ref="R2207">_xlfn._xlws.FILTER(#REF!, E2207:P2207=MIN(E2207:P2207))</f>
        <v>#REF!</v>
      </c>
    </row>
    <row r="2208" spans="18:18">
      <c r="R2208" s="137" t="e" cm="1">
        <f t="array" ref="R2208">_xlfn._xlws.FILTER(#REF!, E2208:P2208=MIN(E2208:P2208))</f>
        <v>#REF!</v>
      </c>
    </row>
    <row r="2209" spans="18:18">
      <c r="R2209" s="137" t="e" cm="1">
        <f t="array" ref="R2209">_xlfn._xlws.FILTER(#REF!, E2209:P2209=MIN(E2209:P2209))</f>
        <v>#REF!</v>
      </c>
    </row>
    <row r="2210" spans="18:18">
      <c r="R2210" s="137" t="e" cm="1">
        <f t="array" ref="R2210">_xlfn._xlws.FILTER(#REF!, E2210:P2210=MIN(E2210:P2210))</f>
        <v>#REF!</v>
      </c>
    </row>
    <row r="2211" spans="18:18">
      <c r="R2211" s="137" t="e" cm="1">
        <f t="array" ref="R2211">_xlfn._xlws.FILTER(#REF!, E2211:P2211=MIN(E2211:P2211))</f>
        <v>#REF!</v>
      </c>
    </row>
    <row r="2212" spans="18:18">
      <c r="R2212" s="137" t="e" cm="1">
        <f t="array" ref="R2212">_xlfn._xlws.FILTER(#REF!, E2212:P2212=MIN(E2212:P2212))</f>
        <v>#REF!</v>
      </c>
    </row>
    <row r="2213" spans="18:18">
      <c r="R2213" s="137" t="e" cm="1">
        <f t="array" ref="R2213">_xlfn._xlws.FILTER(#REF!, E2213:P2213=MIN(E2213:P2213))</f>
        <v>#REF!</v>
      </c>
    </row>
    <row r="2214" spans="18:18">
      <c r="R2214" s="137" t="e" cm="1">
        <f t="array" ref="R2214">_xlfn._xlws.FILTER(#REF!, E2214:P2214=MIN(E2214:P2214))</f>
        <v>#REF!</v>
      </c>
    </row>
    <row r="2215" spans="18:18">
      <c r="R2215" s="137" t="e" cm="1">
        <f t="array" ref="R2215">_xlfn._xlws.FILTER(#REF!, E2215:P2215=MIN(E2215:P2215))</f>
        <v>#REF!</v>
      </c>
    </row>
    <row r="2216" spans="18:18">
      <c r="R2216" s="137" t="e" cm="1">
        <f t="array" ref="R2216">_xlfn._xlws.FILTER(#REF!, E2216:P2216=MIN(E2216:P2216))</f>
        <v>#REF!</v>
      </c>
    </row>
    <row r="2217" spans="18:18">
      <c r="R2217" s="137" t="e" cm="1">
        <f t="array" ref="R2217">_xlfn._xlws.FILTER(#REF!, E2217:P2217=MIN(E2217:P2217))</f>
        <v>#REF!</v>
      </c>
    </row>
    <row r="2218" spans="18:18">
      <c r="R2218" s="137" t="e" cm="1">
        <f t="array" ref="R2218">_xlfn._xlws.FILTER(#REF!, E2218:P2218=MIN(E2218:P2218))</f>
        <v>#REF!</v>
      </c>
    </row>
    <row r="2219" spans="18:18">
      <c r="R2219" s="137" t="e" cm="1">
        <f t="array" ref="R2219">_xlfn._xlws.FILTER(#REF!, E2219:P2219=MIN(E2219:P2219))</f>
        <v>#REF!</v>
      </c>
    </row>
    <row r="2220" spans="18:18">
      <c r="R2220" s="137" t="e" cm="1">
        <f t="array" ref="R2220">_xlfn._xlws.FILTER(#REF!, E2220:P2220=MIN(E2220:P2220))</f>
        <v>#REF!</v>
      </c>
    </row>
    <row r="2221" spans="18:18">
      <c r="R2221" s="137" t="e" cm="1">
        <f t="array" ref="R2221">_xlfn._xlws.FILTER(#REF!, E2221:P2221=MIN(E2221:P2221))</f>
        <v>#REF!</v>
      </c>
    </row>
    <row r="2222" spans="18:18">
      <c r="R2222" s="137" t="e" cm="1">
        <f t="array" ref="R2222">_xlfn._xlws.FILTER(#REF!, E2222:P2222=MIN(E2222:P2222))</f>
        <v>#REF!</v>
      </c>
    </row>
    <row r="2223" spans="18:18">
      <c r="R2223" s="137" t="e" cm="1">
        <f t="array" ref="R2223">_xlfn._xlws.FILTER(#REF!, E2223:P2223=MIN(E2223:P2223))</f>
        <v>#REF!</v>
      </c>
    </row>
    <row r="2224" spans="18:18">
      <c r="R2224" s="137" t="e" cm="1">
        <f t="array" ref="R2224">_xlfn._xlws.FILTER(#REF!, E2224:P2224=MIN(E2224:P2224))</f>
        <v>#REF!</v>
      </c>
    </row>
    <row r="2225" spans="18:18">
      <c r="R2225" s="137" t="e" cm="1">
        <f t="array" ref="R2225">_xlfn._xlws.FILTER(#REF!, E2225:P2225=MIN(E2225:P2225))</f>
        <v>#REF!</v>
      </c>
    </row>
    <row r="2226" spans="18:18">
      <c r="R2226" s="137" t="e" cm="1">
        <f t="array" ref="R2226">_xlfn._xlws.FILTER(#REF!, E2226:P2226=MIN(E2226:P2226))</f>
        <v>#REF!</v>
      </c>
    </row>
    <row r="2227" spans="18:18">
      <c r="R2227" s="137" t="e" cm="1">
        <f t="array" ref="R2227">_xlfn._xlws.FILTER(#REF!, E2227:P2227=MIN(E2227:P2227))</f>
        <v>#REF!</v>
      </c>
    </row>
    <row r="2228" spans="18:18">
      <c r="R2228" s="137" t="e" cm="1">
        <f t="array" ref="R2228">_xlfn._xlws.FILTER(#REF!, E2228:P2228=MIN(E2228:P2228))</f>
        <v>#REF!</v>
      </c>
    </row>
    <row r="2229" spans="18:18">
      <c r="R2229" s="137" t="e" cm="1">
        <f t="array" ref="R2229">_xlfn._xlws.FILTER(#REF!, E2229:P2229=MIN(E2229:P2229))</f>
        <v>#REF!</v>
      </c>
    </row>
    <row r="2230" spans="18:18">
      <c r="R2230" s="137" t="e" cm="1">
        <f t="array" ref="R2230">_xlfn._xlws.FILTER(#REF!, E2230:P2230=MIN(E2230:P2230))</f>
        <v>#REF!</v>
      </c>
    </row>
    <row r="2231" spans="18:18">
      <c r="R2231" s="137" t="e" cm="1">
        <f t="array" ref="R2231">_xlfn._xlws.FILTER(#REF!, E2231:P2231=MIN(E2231:P2231))</f>
        <v>#REF!</v>
      </c>
    </row>
    <row r="2232" spans="18:18">
      <c r="R2232" s="137" t="e" cm="1">
        <f t="array" ref="R2232">_xlfn._xlws.FILTER(#REF!, E2232:P2232=MIN(E2232:P2232))</f>
        <v>#REF!</v>
      </c>
    </row>
    <row r="2233" spans="18:18">
      <c r="R2233" s="137" t="e" cm="1">
        <f t="array" ref="R2233">_xlfn._xlws.FILTER(#REF!, E2233:P2233=MIN(E2233:P2233))</f>
        <v>#REF!</v>
      </c>
    </row>
    <row r="2234" spans="18:18">
      <c r="R2234" s="137" t="e" cm="1">
        <f t="array" ref="R2234">_xlfn._xlws.FILTER(#REF!, E2234:P2234=MIN(E2234:P2234))</f>
        <v>#REF!</v>
      </c>
    </row>
    <row r="2235" spans="18:18">
      <c r="R2235" s="137" t="e" cm="1">
        <f t="array" ref="R2235">_xlfn._xlws.FILTER(#REF!, E2235:P2235=MIN(E2235:P2235))</f>
        <v>#REF!</v>
      </c>
    </row>
    <row r="2236" spans="18:18">
      <c r="R2236" s="137" t="e" cm="1">
        <f t="array" ref="R2236">_xlfn._xlws.FILTER(#REF!, E2236:P2236=MIN(E2236:P2236))</f>
        <v>#REF!</v>
      </c>
    </row>
    <row r="2237" spans="18:18">
      <c r="R2237" s="137" t="e" cm="1">
        <f t="array" ref="R2237">_xlfn._xlws.FILTER(#REF!, E2237:P2237=MIN(E2237:P2237))</f>
        <v>#REF!</v>
      </c>
    </row>
    <row r="2238" spans="18:18">
      <c r="R2238" s="137" t="e" cm="1">
        <f t="array" ref="R2238">_xlfn._xlws.FILTER(#REF!, E2238:P2238=MIN(E2238:P2238))</f>
        <v>#REF!</v>
      </c>
    </row>
    <row r="2239" spans="18:18">
      <c r="R2239" s="137" t="e" cm="1">
        <f t="array" ref="R2239">_xlfn._xlws.FILTER(#REF!, E2239:P2239=MIN(E2239:P2239))</f>
        <v>#REF!</v>
      </c>
    </row>
    <row r="2240" spans="18:18">
      <c r="R2240" s="137" t="e" cm="1">
        <f t="array" ref="R2240">_xlfn._xlws.FILTER(#REF!, E2240:P2240=MIN(E2240:P2240))</f>
        <v>#REF!</v>
      </c>
    </row>
    <row r="2241" spans="18:18">
      <c r="R2241" s="137" t="e" cm="1">
        <f t="array" ref="R2241">_xlfn._xlws.FILTER(#REF!, E2241:P2241=MIN(E2241:P2241))</f>
        <v>#REF!</v>
      </c>
    </row>
    <row r="2242" spans="18:18">
      <c r="R2242" s="137" t="e" cm="1">
        <f t="array" ref="R2242">_xlfn._xlws.FILTER(#REF!, E2242:P2242=MIN(E2242:P2242))</f>
        <v>#REF!</v>
      </c>
    </row>
    <row r="2243" spans="18:18">
      <c r="R2243" s="137" t="e" cm="1">
        <f t="array" ref="R2243">_xlfn._xlws.FILTER(#REF!, E2243:P2243=MIN(E2243:P2243))</f>
        <v>#REF!</v>
      </c>
    </row>
    <row r="2244" spans="18:18">
      <c r="R2244" s="137" t="e" cm="1">
        <f t="array" ref="R2244">_xlfn._xlws.FILTER(#REF!, E2244:P2244=MIN(E2244:P2244))</f>
        <v>#REF!</v>
      </c>
    </row>
    <row r="2245" spans="18:18">
      <c r="R2245" s="137" t="e" cm="1">
        <f t="array" ref="R2245">_xlfn._xlws.FILTER(#REF!, E2245:P2245=MIN(E2245:P2245))</f>
        <v>#REF!</v>
      </c>
    </row>
    <row r="2246" spans="18:18">
      <c r="R2246" s="137" t="e" cm="1">
        <f t="array" ref="R2246">_xlfn._xlws.FILTER(#REF!, E2246:P2246=MIN(E2246:P2246))</f>
        <v>#REF!</v>
      </c>
    </row>
    <row r="2247" spans="18:18">
      <c r="R2247" s="137" t="e" cm="1">
        <f t="array" ref="R2247">_xlfn._xlws.FILTER(#REF!, E2247:P2247=MIN(E2247:P2247))</f>
        <v>#REF!</v>
      </c>
    </row>
    <row r="2248" spans="18:18">
      <c r="R2248" s="137" t="e" cm="1">
        <f t="array" ref="R2248">_xlfn._xlws.FILTER(#REF!, E2248:P2248=MIN(E2248:P2248))</f>
        <v>#REF!</v>
      </c>
    </row>
    <row r="2249" spans="18:18">
      <c r="R2249" s="137" t="e" cm="1">
        <f t="array" ref="R2249">_xlfn._xlws.FILTER(#REF!, E2249:P2249=MIN(E2249:P2249))</f>
        <v>#REF!</v>
      </c>
    </row>
    <row r="2250" spans="18:18">
      <c r="R2250" s="137" t="e" cm="1">
        <f t="array" ref="R2250">_xlfn._xlws.FILTER(#REF!, E2250:P2250=MIN(E2250:P2250))</f>
        <v>#REF!</v>
      </c>
    </row>
    <row r="2251" spans="18:18">
      <c r="R2251" s="137" t="e" cm="1">
        <f t="array" ref="R2251">_xlfn._xlws.FILTER(#REF!, E2251:P2251=MIN(E2251:P2251))</f>
        <v>#REF!</v>
      </c>
    </row>
    <row r="2252" spans="18:18">
      <c r="R2252" s="137" t="e" cm="1">
        <f t="array" ref="R2252">_xlfn._xlws.FILTER(#REF!, E2252:P2252=MIN(E2252:P2252))</f>
        <v>#REF!</v>
      </c>
    </row>
    <row r="2253" spans="18:18">
      <c r="R2253" s="137" t="e" cm="1">
        <f t="array" ref="R2253">_xlfn._xlws.FILTER(#REF!, E2253:P2253=MIN(E2253:P2253))</f>
        <v>#REF!</v>
      </c>
    </row>
    <row r="2254" spans="18:18">
      <c r="R2254" s="137" t="e" cm="1">
        <f t="array" ref="R2254">_xlfn._xlws.FILTER(#REF!, E2254:P2254=MIN(E2254:P2254))</f>
        <v>#REF!</v>
      </c>
    </row>
    <row r="2255" spans="18:18">
      <c r="R2255" s="137" t="e" cm="1">
        <f t="array" ref="R2255">_xlfn._xlws.FILTER(#REF!, E2255:P2255=MIN(E2255:P2255))</f>
        <v>#REF!</v>
      </c>
    </row>
    <row r="2256" spans="18:18">
      <c r="R2256" s="137" t="e" cm="1">
        <f t="array" ref="R2256">_xlfn._xlws.FILTER(#REF!, E2256:P2256=MIN(E2256:P2256))</f>
        <v>#REF!</v>
      </c>
    </row>
    <row r="2257" spans="18:18">
      <c r="R2257" s="137" t="e" cm="1">
        <f t="array" ref="R2257">_xlfn._xlws.FILTER(#REF!, E2257:P2257=MIN(E2257:P2257))</f>
        <v>#REF!</v>
      </c>
    </row>
    <row r="2258" spans="18:18">
      <c r="R2258" s="137" t="e" cm="1">
        <f t="array" ref="R2258">_xlfn._xlws.FILTER(#REF!, E2258:P2258=MIN(E2258:P2258))</f>
        <v>#REF!</v>
      </c>
    </row>
    <row r="2259" spans="18:18">
      <c r="R2259" s="137" t="e" cm="1">
        <f t="array" ref="R2259">_xlfn._xlws.FILTER(#REF!, E2259:P2259=MIN(E2259:P2259))</f>
        <v>#REF!</v>
      </c>
    </row>
    <row r="2260" spans="18:18">
      <c r="R2260" s="137" t="e" cm="1">
        <f t="array" ref="R2260">_xlfn._xlws.FILTER(#REF!, E2260:P2260=MIN(E2260:P2260))</f>
        <v>#REF!</v>
      </c>
    </row>
    <row r="2261" spans="18:18">
      <c r="R2261" s="137" t="e" cm="1">
        <f t="array" ref="R2261">_xlfn._xlws.FILTER(#REF!, E2261:P2261=MIN(E2261:P2261))</f>
        <v>#REF!</v>
      </c>
    </row>
    <row r="2262" spans="18:18">
      <c r="R2262" s="137" t="e" cm="1">
        <f t="array" ref="R2262">_xlfn._xlws.FILTER(#REF!, E2262:P2262=MIN(E2262:P2262))</f>
        <v>#REF!</v>
      </c>
    </row>
    <row r="2263" spans="18:18">
      <c r="R2263" s="137" t="e" cm="1">
        <f t="array" ref="R2263">_xlfn._xlws.FILTER(#REF!, E2263:P2263=MIN(E2263:P2263))</f>
        <v>#REF!</v>
      </c>
    </row>
    <row r="2264" spans="18:18">
      <c r="R2264" s="137" t="e" cm="1">
        <f t="array" ref="R2264">_xlfn._xlws.FILTER(#REF!, E2264:P2264=MIN(E2264:P2264))</f>
        <v>#REF!</v>
      </c>
    </row>
    <row r="2265" spans="18:18">
      <c r="R2265" s="137" t="e" cm="1">
        <f t="array" ref="R2265">_xlfn._xlws.FILTER(#REF!, E2265:P2265=MIN(E2265:P2265))</f>
        <v>#REF!</v>
      </c>
    </row>
    <row r="2266" spans="18:18">
      <c r="R2266" s="137" t="e" cm="1">
        <f t="array" ref="R2266">_xlfn._xlws.FILTER(#REF!, E2266:P2266=MIN(E2266:P2266))</f>
        <v>#REF!</v>
      </c>
    </row>
    <row r="2267" spans="18:18">
      <c r="R2267" s="137" t="e" cm="1">
        <f t="array" ref="R2267">_xlfn._xlws.FILTER(#REF!, E2267:P2267=MIN(E2267:P2267))</f>
        <v>#REF!</v>
      </c>
    </row>
    <row r="2268" spans="18:18">
      <c r="R2268" s="137" t="e" cm="1">
        <f t="array" ref="R2268">_xlfn._xlws.FILTER(#REF!, E2268:P2268=MIN(E2268:P2268))</f>
        <v>#REF!</v>
      </c>
    </row>
    <row r="2269" spans="18:18">
      <c r="R2269" s="137" t="e" cm="1">
        <f t="array" ref="R2269">_xlfn._xlws.FILTER(#REF!, E2269:P2269=MIN(E2269:P2269))</f>
        <v>#REF!</v>
      </c>
    </row>
    <row r="2270" spans="18:18">
      <c r="R2270" s="137" t="e" cm="1">
        <f t="array" ref="R2270">_xlfn._xlws.FILTER(#REF!, E2270:P2270=MIN(E2270:P2270))</f>
        <v>#REF!</v>
      </c>
    </row>
    <row r="2271" spans="18:18">
      <c r="R2271" s="137" t="e" cm="1">
        <f t="array" ref="R2271">_xlfn._xlws.FILTER(#REF!, E2271:P2271=MIN(E2271:P2271))</f>
        <v>#REF!</v>
      </c>
    </row>
    <row r="2272" spans="18:18">
      <c r="R2272" s="137" t="e" cm="1">
        <f t="array" ref="R2272">_xlfn._xlws.FILTER(#REF!, E2272:P2272=MIN(E2272:P2272))</f>
        <v>#REF!</v>
      </c>
    </row>
    <row r="2273" spans="18:18">
      <c r="R2273" s="137" t="e" cm="1">
        <f t="array" ref="R2273">_xlfn._xlws.FILTER(#REF!, E2273:P2273=MIN(E2273:P2273))</f>
        <v>#REF!</v>
      </c>
    </row>
    <row r="2274" spans="18:18">
      <c r="R2274" s="137" t="e" cm="1">
        <f t="array" ref="R2274">_xlfn._xlws.FILTER(#REF!, E2274:P2274=MIN(E2274:P2274))</f>
        <v>#REF!</v>
      </c>
    </row>
    <row r="2275" spans="18:18">
      <c r="R2275" s="137" t="e" cm="1">
        <f t="array" ref="R2275">_xlfn._xlws.FILTER(#REF!, E2275:P2275=MIN(E2275:P2275))</f>
        <v>#REF!</v>
      </c>
    </row>
    <row r="2276" spans="18:18">
      <c r="R2276" s="137" t="e" cm="1">
        <f t="array" ref="R2276">_xlfn._xlws.FILTER(#REF!, E2276:P2276=MIN(E2276:P2276))</f>
        <v>#REF!</v>
      </c>
    </row>
    <row r="2277" spans="18:18">
      <c r="R2277" s="137" t="e" cm="1">
        <f t="array" ref="R2277">_xlfn._xlws.FILTER(#REF!, E2277:P2277=MIN(E2277:P2277))</f>
        <v>#REF!</v>
      </c>
    </row>
    <row r="2278" spans="18:18">
      <c r="R2278" s="137" t="e" cm="1">
        <f t="array" ref="R2278">_xlfn._xlws.FILTER(#REF!, E2278:P2278=MIN(E2278:P2278))</f>
        <v>#REF!</v>
      </c>
    </row>
    <row r="2279" spans="18:18">
      <c r="R2279" s="137" t="e" cm="1">
        <f t="array" ref="R2279">_xlfn._xlws.FILTER(#REF!, E2279:P2279=MIN(E2279:P2279))</f>
        <v>#REF!</v>
      </c>
    </row>
    <row r="2280" spans="18:18">
      <c r="R2280" s="137" t="e" cm="1">
        <f t="array" ref="R2280">_xlfn._xlws.FILTER(#REF!, E2280:P2280=MIN(E2280:P2280))</f>
        <v>#REF!</v>
      </c>
    </row>
    <row r="2281" spans="18:18">
      <c r="R2281" s="137" t="e" cm="1">
        <f t="array" ref="R2281">_xlfn._xlws.FILTER(#REF!, E2281:P2281=MIN(E2281:P2281))</f>
        <v>#REF!</v>
      </c>
    </row>
    <row r="2282" spans="18:18">
      <c r="R2282" s="137" t="e" cm="1">
        <f t="array" ref="R2282">_xlfn._xlws.FILTER(#REF!, E2282:P2282=MIN(E2282:P2282))</f>
        <v>#REF!</v>
      </c>
    </row>
    <row r="2283" spans="18:18">
      <c r="R2283" s="137" t="e" cm="1">
        <f t="array" ref="R2283">_xlfn._xlws.FILTER(#REF!, E2283:P2283=MIN(E2283:P2283))</f>
        <v>#REF!</v>
      </c>
    </row>
    <row r="2284" spans="18:18">
      <c r="R2284" s="137" t="e" cm="1">
        <f t="array" ref="R2284">_xlfn._xlws.FILTER(#REF!, E2284:P2284=MIN(E2284:P2284))</f>
        <v>#REF!</v>
      </c>
    </row>
    <row r="2285" spans="18:18">
      <c r="R2285" s="137" t="e" cm="1">
        <f t="array" ref="R2285">_xlfn._xlws.FILTER(#REF!, E2285:P2285=MIN(E2285:P2285))</f>
        <v>#REF!</v>
      </c>
    </row>
    <row r="2286" spans="18:18">
      <c r="R2286" s="137" t="e" cm="1">
        <f t="array" ref="R2286">_xlfn._xlws.FILTER(#REF!, E2286:P2286=MIN(E2286:P2286))</f>
        <v>#REF!</v>
      </c>
    </row>
    <row r="2287" spans="18:18">
      <c r="R2287" s="137" t="e" cm="1">
        <f t="array" ref="R2287">_xlfn._xlws.FILTER(#REF!, E2287:P2287=MIN(E2287:P2287))</f>
        <v>#REF!</v>
      </c>
    </row>
    <row r="2288" spans="18:18">
      <c r="R2288" s="137" t="e" cm="1">
        <f t="array" ref="R2288">_xlfn._xlws.FILTER(#REF!, E2288:P2288=MIN(E2288:P2288))</f>
        <v>#REF!</v>
      </c>
    </row>
    <row r="2289" spans="18:18">
      <c r="R2289" s="137" t="e" cm="1">
        <f t="array" ref="R2289">_xlfn._xlws.FILTER(#REF!, E2289:P2289=MIN(E2289:P2289))</f>
        <v>#REF!</v>
      </c>
    </row>
    <row r="2290" spans="18:18">
      <c r="R2290" s="137" t="e" cm="1">
        <f t="array" ref="R2290">_xlfn._xlws.FILTER(#REF!, E2290:P2290=MIN(E2290:P2290))</f>
        <v>#REF!</v>
      </c>
    </row>
    <row r="2291" spans="18:18">
      <c r="R2291" s="137" t="e" cm="1">
        <f t="array" ref="R2291">_xlfn._xlws.FILTER(#REF!, E2291:P2291=MIN(E2291:P2291))</f>
        <v>#REF!</v>
      </c>
    </row>
    <row r="2292" spans="18:18">
      <c r="R2292" s="137" t="e" cm="1">
        <f t="array" ref="R2292">_xlfn._xlws.FILTER(#REF!, E2292:P2292=MIN(E2292:P2292))</f>
        <v>#REF!</v>
      </c>
    </row>
    <row r="2293" spans="18:18">
      <c r="R2293" s="137" t="e" cm="1">
        <f t="array" ref="R2293">_xlfn._xlws.FILTER(#REF!, E2293:P2293=MIN(E2293:P2293))</f>
        <v>#REF!</v>
      </c>
    </row>
    <row r="2294" spans="18:18">
      <c r="R2294" s="137" t="e" cm="1">
        <f t="array" ref="R2294">_xlfn._xlws.FILTER(#REF!, E2294:P2294=MIN(E2294:P2294))</f>
        <v>#REF!</v>
      </c>
    </row>
    <row r="2295" spans="18:18">
      <c r="R2295" s="137" t="e" cm="1">
        <f t="array" ref="R2295">_xlfn._xlws.FILTER(#REF!, E2295:P2295=MIN(E2295:P2295))</f>
        <v>#REF!</v>
      </c>
    </row>
    <row r="2296" spans="18:18">
      <c r="R2296" s="137" t="e" cm="1">
        <f t="array" ref="R2296">_xlfn._xlws.FILTER(#REF!, E2296:P2296=MIN(E2296:P2296))</f>
        <v>#REF!</v>
      </c>
    </row>
    <row r="2297" spans="18:18">
      <c r="R2297" s="137" t="e" cm="1">
        <f t="array" ref="R2297">_xlfn._xlws.FILTER(#REF!, E2297:P2297=MIN(E2297:P2297))</f>
        <v>#REF!</v>
      </c>
    </row>
    <row r="2298" spans="18:18">
      <c r="R2298" s="137" t="e" cm="1">
        <f t="array" ref="R2298">_xlfn._xlws.FILTER(#REF!, E2298:P2298=MIN(E2298:P2298))</f>
        <v>#REF!</v>
      </c>
    </row>
    <row r="2299" spans="18:18">
      <c r="R2299" s="137" t="e" cm="1">
        <f t="array" ref="R2299">_xlfn._xlws.FILTER(#REF!, E2299:P2299=MIN(E2299:P2299))</f>
        <v>#REF!</v>
      </c>
    </row>
    <row r="2300" spans="18:18">
      <c r="R2300" s="137" t="e" cm="1">
        <f t="array" ref="R2300">_xlfn._xlws.FILTER(#REF!, E2300:P2300=MIN(E2300:P2300))</f>
        <v>#REF!</v>
      </c>
    </row>
    <row r="2301" spans="18:18">
      <c r="R2301" s="137" t="e" cm="1">
        <f t="array" ref="R2301">_xlfn._xlws.FILTER(#REF!, E2301:P2301=MIN(E2301:P2301))</f>
        <v>#REF!</v>
      </c>
    </row>
    <row r="2302" spans="18:18">
      <c r="R2302" s="137" t="e" cm="1">
        <f t="array" ref="R2302">_xlfn._xlws.FILTER(#REF!, E2302:P2302=MIN(E2302:P2302))</f>
        <v>#REF!</v>
      </c>
    </row>
    <row r="2303" spans="18:18">
      <c r="R2303" s="137" t="e" cm="1">
        <f t="array" ref="R2303">_xlfn._xlws.FILTER(#REF!, E2303:P2303=MIN(E2303:P2303))</f>
        <v>#REF!</v>
      </c>
    </row>
    <row r="2304" spans="18:18">
      <c r="R2304" s="137" t="e" cm="1">
        <f t="array" ref="R2304">_xlfn._xlws.FILTER(#REF!, E2304:P2304=MIN(E2304:P2304))</f>
        <v>#REF!</v>
      </c>
    </row>
    <row r="2305" spans="18:18">
      <c r="R2305" s="137" t="e" cm="1">
        <f t="array" ref="R2305">_xlfn._xlws.FILTER(#REF!, E2305:P2305=MIN(E2305:P2305))</f>
        <v>#REF!</v>
      </c>
    </row>
    <row r="2306" spans="18:18">
      <c r="R2306" s="137" t="e" cm="1">
        <f t="array" ref="R2306">_xlfn._xlws.FILTER(#REF!, E2306:P2306=MIN(E2306:P2306))</f>
        <v>#REF!</v>
      </c>
    </row>
    <row r="2307" spans="18:18">
      <c r="R2307" s="137" t="e" cm="1">
        <f t="array" ref="R2307">_xlfn._xlws.FILTER(#REF!, E2307:P2307=MIN(E2307:P2307))</f>
        <v>#REF!</v>
      </c>
    </row>
    <row r="2308" spans="18:18">
      <c r="R2308" s="137" t="e" cm="1">
        <f t="array" ref="R2308">_xlfn._xlws.FILTER(#REF!, E2308:P2308=MIN(E2308:P2308))</f>
        <v>#REF!</v>
      </c>
    </row>
    <row r="2309" spans="18:18">
      <c r="R2309" s="137" t="e" cm="1">
        <f t="array" ref="R2309">_xlfn._xlws.FILTER(#REF!, E2309:P2309=MIN(E2309:P2309))</f>
        <v>#REF!</v>
      </c>
    </row>
    <row r="2310" spans="18:18">
      <c r="R2310" s="137" t="e" cm="1">
        <f t="array" ref="R2310">_xlfn._xlws.FILTER(#REF!, E2310:P2310=MIN(E2310:P2310))</f>
        <v>#REF!</v>
      </c>
    </row>
    <row r="2311" spans="18:18">
      <c r="R2311" s="137" t="e" cm="1">
        <f t="array" ref="R2311">_xlfn._xlws.FILTER(#REF!, E2311:P2311=MIN(E2311:P2311))</f>
        <v>#REF!</v>
      </c>
    </row>
    <row r="2312" spans="18:18">
      <c r="R2312" s="137" t="e" cm="1">
        <f t="array" ref="R2312">_xlfn._xlws.FILTER(#REF!, E2312:P2312=MIN(E2312:P2312))</f>
        <v>#REF!</v>
      </c>
    </row>
    <row r="2313" spans="18:18">
      <c r="R2313" s="137" t="e" cm="1">
        <f t="array" ref="R2313">_xlfn._xlws.FILTER(#REF!, E2313:P2313=MIN(E2313:P2313))</f>
        <v>#REF!</v>
      </c>
    </row>
    <row r="2314" spans="18:18">
      <c r="R2314" s="137" t="e" cm="1">
        <f t="array" ref="R2314">_xlfn._xlws.FILTER(#REF!, E2314:P2314=MIN(E2314:P2314))</f>
        <v>#REF!</v>
      </c>
    </row>
    <row r="2315" spans="18:18">
      <c r="R2315" s="137" t="e" cm="1">
        <f t="array" ref="R2315">_xlfn._xlws.FILTER(#REF!, E2315:P2315=MIN(E2315:P2315))</f>
        <v>#REF!</v>
      </c>
    </row>
    <row r="2316" spans="18:18">
      <c r="R2316" s="137" t="e" cm="1">
        <f t="array" ref="R2316">_xlfn._xlws.FILTER(#REF!, E2316:P2316=MIN(E2316:P2316))</f>
        <v>#REF!</v>
      </c>
    </row>
    <row r="2317" spans="18:18">
      <c r="R2317" s="137" t="e" cm="1">
        <f t="array" ref="R2317">_xlfn._xlws.FILTER(#REF!, E2317:P2317=MIN(E2317:P2317))</f>
        <v>#REF!</v>
      </c>
    </row>
    <row r="2318" spans="18:18">
      <c r="R2318" s="137" t="e" cm="1">
        <f t="array" ref="R2318">_xlfn._xlws.FILTER(#REF!, E2318:P2318=MIN(E2318:P2318))</f>
        <v>#REF!</v>
      </c>
    </row>
    <row r="2319" spans="18:18">
      <c r="R2319" s="137" t="e" cm="1">
        <f t="array" ref="R2319">_xlfn._xlws.FILTER(#REF!, E2319:P2319=MIN(E2319:P2319))</f>
        <v>#REF!</v>
      </c>
    </row>
    <row r="2320" spans="18:18">
      <c r="R2320" s="137" t="e" cm="1">
        <f t="array" ref="R2320">_xlfn._xlws.FILTER(#REF!, E2320:P2320=MIN(E2320:P2320))</f>
        <v>#REF!</v>
      </c>
    </row>
    <row r="2321" spans="18:18">
      <c r="R2321" s="137" t="e" cm="1">
        <f t="array" ref="R2321">_xlfn._xlws.FILTER(#REF!, E2321:P2321=MIN(E2321:P2321))</f>
        <v>#REF!</v>
      </c>
    </row>
    <row r="2322" spans="18:18">
      <c r="R2322" s="137" t="e" cm="1">
        <f t="array" ref="R2322">_xlfn._xlws.FILTER(#REF!, E2322:P2322=MIN(E2322:P2322))</f>
        <v>#REF!</v>
      </c>
    </row>
    <row r="2323" spans="18:18">
      <c r="R2323" s="137" t="e" cm="1">
        <f t="array" ref="R2323">_xlfn._xlws.FILTER(#REF!, E2323:P2323=MIN(E2323:P2323))</f>
        <v>#REF!</v>
      </c>
    </row>
    <row r="2324" spans="18:18">
      <c r="R2324" s="137" t="e" cm="1">
        <f t="array" ref="R2324">_xlfn._xlws.FILTER(#REF!, E2324:P2324=MIN(E2324:P2324))</f>
        <v>#REF!</v>
      </c>
    </row>
    <row r="2325" spans="18:18">
      <c r="R2325" s="137" t="e" cm="1">
        <f t="array" ref="R2325">_xlfn._xlws.FILTER(#REF!, E2325:P2325=MIN(E2325:P2325))</f>
        <v>#REF!</v>
      </c>
    </row>
    <row r="2326" spans="18:18">
      <c r="R2326" s="137" t="e" cm="1">
        <f t="array" ref="R2326">_xlfn._xlws.FILTER(#REF!, E2326:P2326=MIN(E2326:P2326))</f>
        <v>#REF!</v>
      </c>
    </row>
    <row r="2327" spans="18:18">
      <c r="R2327" s="137" t="e" cm="1">
        <f t="array" ref="R2327">_xlfn._xlws.FILTER(#REF!, E2327:P2327=MIN(E2327:P2327))</f>
        <v>#REF!</v>
      </c>
    </row>
    <row r="2328" spans="18:18">
      <c r="R2328" s="137" t="e" cm="1">
        <f t="array" ref="R2328">_xlfn._xlws.FILTER(#REF!, E2328:P2328=MIN(E2328:P2328))</f>
        <v>#REF!</v>
      </c>
    </row>
    <row r="2329" spans="18:18">
      <c r="R2329" s="137" t="e" cm="1">
        <f t="array" ref="R2329">_xlfn._xlws.FILTER(#REF!, E2329:P2329=MIN(E2329:P2329))</f>
        <v>#REF!</v>
      </c>
    </row>
    <row r="2330" spans="18:18">
      <c r="R2330" s="137" t="e" cm="1">
        <f t="array" ref="R2330">_xlfn._xlws.FILTER(#REF!, E2330:P2330=MIN(E2330:P2330))</f>
        <v>#REF!</v>
      </c>
    </row>
    <row r="2331" spans="18:18">
      <c r="R2331" s="137" t="e" cm="1">
        <f t="array" ref="R2331">_xlfn._xlws.FILTER(#REF!, E2331:P2331=MIN(E2331:P2331))</f>
        <v>#REF!</v>
      </c>
    </row>
    <row r="2332" spans="18:18">
      <c r="R2332" s="137" t="e" cm="1">
        <f t="array" ref="R2332">_xlfn._xlws.FILTER(#REF!, E2332:P2332=MIN(E2332:P2332))</f>
        <v>#REF!</v>
      </c>
    </row>
    <row r="2333" spans="18:18">
      <c r="R2333" s="137" t="e" cm="1">
        <f t="array" ref="R2333">_xlfn._xlws.FILTER(#REF!, E2333:P2333=MIN(E2333:P2333))</f>
        <v>#REF!</v>
      </c>
    </row>
    <row r="2334" spans="18:18">
      <c r="R2334" s="137" t="e" cm="1">
        <f t="array" ref="R2334">_xlfn._xlws.FILTER(#REF!, E2334:P2334=MIN(E2334:P2334))</f>
        <v>#REF!</v>
      </c>
    </row>
    <row r="2335" spans="18:18">
      <c r="R2335" s="137" t="e" cm="1">
        <f t="array" ref="R2335">_xlfn._xlws.FILTER(#REF!, E2335:P2335=MIN(E2335:P2335))</f>
        <v>#REF!</v>
      </c>
    </row>
    <row r="2336" spans="18:18">
      <c r="R2336" s="137" t="e" cm="1">
        <f t="array" ref="R2336">_xlfn._xlws.FILTER(#REF!, E2336:P2336=MIN(E2336:P2336))</f>
        <v>#REF!</v>
      </c>
    </row>
    <row r="2337" spans="18:18">
      <c r="R2337" s="137" t="e" cm="1">
        <f t="array" ref="R2337">_xlfn._xlws.FILTER(#REF!, E2337:P2337=MIN(E2337:P2337))</f>
        <v>#REF!</v>
      </c>
    </row>
    <row r="2338" spans="18:18">
      <c r="R2338" s="137" t="e" cm="1">
        <f t="array" ref="R2338">_xlfn._xlws.FILTER(#REF!, E2338:P2338=MIN(E2338:P2338))</f>
        <v>#REF!</v>
      </c>
    </row>
    <row r="2339" spans="18:18">
      <c r="R2339" s="137" t="e" cm="1">
        <f t="array" ref="R2339">_xlfn._xlws.FILTER(#REF!, E2339:P2339=MIN(E2339:P2339))</f>
        <v>#REF!</v>
      </c>
    </row>
    <row r="2340" spans="18:18">
      <c r="R2340" s="137" t="e" cm="1">
        <f t="array" ref="R2340">_xlfn._xlws.FILTER(#REF!, E2340:P2340=MIN(E2340:P2340))</f>
        <v>#REF!</v>
      </c>
    </row>
    <row r="2341" spans="18:18">
      <c r="R2341" s="137" t="e" cm="1">
        <f t="array" ref="R2341">_xlfn._xlws.FILTER(#REF!, E2341:P2341=MIN(E2341:P2341))</f>
        <v>#REF!</v>
      </c>
    </row>
    <row r="2342" spans="18:18">
      <c r="R2342" s="137" t="e" cm="1">
        <f t="array" ref="R2342">_xlfn._xlws.FILTER(#REF!, E2342:P2342=MIN(E2342:P2342))</f>
        <v>#REF!</v>
      </c>
    </row>
    <row r="2343" spans="18:18">
      <c r="R2343" s="137" t="e" cm="1">
        <f t="array" ref="R2343">_xlfn._xlws.FILTER(#REF!, E2343:P2343=MIN(E2343:P2343))</f>
        <v>#REF!</v>
      </c>
    </row>
    <row r="2344" spans="18:18">
      <c r="R2344" s="137" t="e" cm="1">
        <f t="array" ref="R2344">_xlfn._xlws.FILTER(#REF!, E2344:P2344=MIN(E2344:P2344))</f>
        <v>#REF!</v>
      </c>
    </row>
    <row r="2345" spans="18:18">
      <c r="R2345" s="137" t="e" cm="1">
        <f t="array" ref="R2345">_xlfn._xlws.FILTER(#REF!, E2345:P2345=MIN(E2345:P2345))</f>
        <v>#REF!</v>
      </c>
    </row>
    <row r="2346" spans="18:18">
      <c r="R2346" s="137" t="e" cm="1">
        <f t="array" ref="R2346">_xlfn._xlws.FILTER(#REF!, E2346:P2346=MIN(E2346:P2346))</f>
        <v>#REF!</v>
      </c>
    </row>
    <row r="2347" spans="18:18">
      <c r="R2347" s="137" t="e" cm="1">
        <f t="array" ref="R2347">_xlfn._xlws.FILTER(#REF!, E2347:P2347=MIN(E2347:P2347))</f>
        <v>#REF!</v>
      </c>
    </row>
    <row r="2348" spans="18:18">
      <c r="R2348" s="137" t="e" cm="1">
        <f t="array" ref="R2348">_xlfn._xlws.FILTER(#REF!, E2348:P2348=MIN(E2348:P2348))</f>
        <v>#REF!</v>
      </c>
    </row>
    <row r="2349" spans="18:18">
      <c r="R2349" s="137" t="e" cm="1">
        <f t="array" ref="R2349">_xlfn._xlws.FILTER(#REF!, E2349:P2349=MIN(E2349:P2349))</f>
        <v>#REF!</v>
      </c>
    </row>
    <row r="2350" spans="18:18">
      <c r="R2350" s="137" t="e" cm="1">
        <f t="array" ref="R2350">_xlfn._xlws.FILTER(#REF!, E2350:P2350=MIN(E2350:P2350))</f>
        <v>#REF!</v>
      </c>
    </row>
    <row r="2351" spans="18:18">
      <c r="R2351" s="137" t="e" cm="1">
        <f t="array" ref="R2351">_xlfn._xlws.FILTER(#REF!, E2351:P2351=MIN(E2351:P2351))</f>
        <v>#REF!</v>
      </c>
    </row>
    <row r="2352" spans="18:18">
      <c r="R2352" s="137" t="e" cm="1">
        <f t="array" ref="R2352">_xlfn._xlws.FILTER(#REF!, E2352:P2352=MIN(E2352:P2352))</f>
        <v>#REF!</v>
      </c>
    </row>
    <row r="2353" spans="18:18">
      <c r="R2353" s="137" t="e" cm="1">
        <f t="array" ref="R2353">_xlfn._xlws.FILTER(#REF!, E2353:P2353=MIN(E2353:P2353))</f>
        <v>#REF!</v>
      </c>
    </row>
    <row r="2354" spans="18:18">
      <c r="R2354" s="137" t="e" cm="1">
        <f t="array" ref="R2354">_xlfn._xlws.FILTER(#REF!, E2354:P2354=MIN(E2354:P2354))</f>
        <v>#REF!</v>
      </c>
    </row>
    <row r="2355" spans="18:18">
      <c r="R2355" s="137" t="e" cm="1">
        <f t="array" ref="R2355">_xlfn._xlws.FILTER(#REF!, E2355:P2355=MIN(E2355:P2355))</f>
        <v>#REF!</v>
      </c>
    </row>
    <row r="2356" spans="18:18">
      <c r="R2356" s="137" t="e" cm="1">
        <f t="array" ref="R2356">_xlfn._xlws.FILTER(#REF!, E2356:P2356=MIN(E2356:P2356))</f>
        <v>#REF!</v>
      </c>
    </row>
    <row r="2357" spans="18:18">
      <c r="R2357" s="137" t="e" cm="1">
        <f t="array" ref="R2357">_xlfn._xlws.FILTER(#REF!, E2357:P2357=MIN(E2357:P2357))</f>
        <v>#REF!</v>
      </c>
    </row>
    <row r="2358" spans="18:18">
      <c r="R2358" s="137" t="e" cm="1">
        <f t="array" ref="R2358">_xlfn._xlws.FILTER(#REF!, E2358:P2358=MIN(E2358:P2358))</f>
        <v>#REF!</v>
      </c>
    </row>
    <row r="2359" spans="18:18">
      <c r="R2359" s="137" t="e" cm="1">
        <f t="array" ref="R2359">_xlfn._xlws.FILTER(#REF!, E2359:P2359=MIN(E2359:P2359))</f>
        <v>#REF!</v>
      </c>
    </row>
    <row r="2360" spans="18:18">
      <c r="R2360" s="137" t="e" cm="1">
        <f t="array" ref="R2360">_xlfn._xlws.FILTER(#REF!, E2360:P2360=MIN(E2360:P2360))</f>
        <v>#REF!</v>
      </c>
    </row>
    <row r="2361" spans="18:18">
      <c r="R2361" s="137" t="e" cm="1">
        <f t="array" ref="R2361">_xlfn._xlws.FILTER(#REF!, E2361:P2361=MIN(E2361:P2361))</f>
        <v>#REF!</v>
      </c>
    </row>
    <row r="2362" spans="18:18">
      <c r="R2362" s="137" t="e" cm="1">
        <f t="array" ref="R2362">_xlfn._xlws.FILTER(#REF!, E2362:P2362=MIN(E2362:P2362))</f>
        <v>#REF!</v>
      </c>
    </row>
    <row r="2363" spans="18:18">
      <c r="R2363" s="137" t="e" cm="1">
        <f t="array" ref="R2363">_xlfn._xlws.FILTER(#REF!, E2363:P2363=MIN(E2363:P2363))</f>
        <v>#REF!</v>
      </c>
    </row>
    <row r="2364" spans="18:18">
      <c r="R2364" s="137" t="e" cm="1">
        <f t="array" ref="R2364">_xlfn._xlws.FILTER(#REF!, E2364:P2364=MIN(E2364:P2364))</f>
        <v>#REF!</v>
      </c>
    </row>
    <row r="2365" spans="18:18">
      <c r="R2365" s="137" t="e" cm="1">
        <f t="array" ref="R2365">_xlfn._xlws.FILTER(#REF!, E2365:P2365=MIN(E2365:P2365))</f>
        <v>#REF!</v>
      </c>
    </row>
    <row r="2366" spans="18:18">
      <c r="R2366" s="137" t="e" cm="1">
        <f t="array" ref="R2366">_xlfn._xlws.FILTER(#REF!, E2366:P2366=MIN(E2366:P2366))</f>
        <v>#REF!</v>
      </c>
    </row>
    <row r="2367" spans="18:18">
      <c r="R2367" s="137" t="e" cm="1">
        <f t="array" ref="R2367">_xlfn._xlws.FILTER(#REF!, E2367:P2367=MIN(E2367:P2367))</f>
        <v>#REF!</v>
      </c>
    </row>
    <row r="2368" spans="18:18">
      <c r="R2368" s="137" t="e" cm="1">
        <f t="array" ref="R2368">_xlfn._xlws.FILTER(#REF!, E2368:P2368=MIN(E2368:P2368))</f>
        <v>#REF!</v>
      </c>
    </row>
    <row r="2369" spans="18:18">
      <c r="R2369" s="137" t="e" cm="1">
        <f t="array" ref="R2369">_xlfn._xlws.FILTER(#REF!, E2369:P2369=MIN(E2369:P2369))</f>
        <v>#REF!</v>
      </c>
    </row>
    <row r="2370" spans="18:18">
      <c r="R2370" s="137" t="e" cm="1">
        <f t="array" ref="R2370">_xlfn._xlws.FILTER(#REF!, E2370:P2370=MIN(E2370:P2370))</f>
        <v>#REF!</v>
      </c>
    </row>
    <row r="2371" spans="18:18">
      <c r="R2371" s="137" t="e" cm="1">
        <f t="array" ref="R2371">_xlfn._xlws.FILTER(#REF!, E2371:P2371=MIN(E2371:P2371))</f>
        <v>#REF!</v>
      </c>
    </row>
    <row r="2372" spans="18:18">
      <c r="R2372" s="137" t="e" cm="1">
        <f t="array" ref="R2372">_xlfn._xlws.FILTER(#REF!, E2372:P2372=MIN(E2372:P2372))</f>
        <v>#REF!</v>
      </c>
    </row>
    <row r="2373" spans="18:18">
      <c r="R2373" s="137" t="e" cm="1">
        <f t="array" ref="R2373">_xlfn._xlws.FILTER(#REF!, E2373:P2373=MIN(E2373:P2373))</f>
        <v>#REF!</v>
      </c>
    </row>
    <row r="2374" spans="18:18">
      <c r="R2374" s="137" t="e" cm="1">
        <f t="array" ref="R2374">_xlfn._xlws.FILTER(#REF!, E2374:P2374=MIN(E2374:P2374))</f>
        <v>#REF!</v>
      </c>
    </row>
    <row r="2375" spans="18:18">
      <c r="R2375" s="137" t="e" cm="1">
        <f t="array" ref="R2375">_xlfn._xlws.FILTER(#REF!, E2375:P2375=MIN(E2375:P2375))</f>
        <v>#REF!</v>
      </c>
    </row>
    <row r="2376" spans="18:18">
      <c r="R2376" s="137" t="e" cm="1">
        <f t="array" ref="R2376">_xlfn._xlws.FILTER(#REF!, E2376:P2376=MIN(E2376:P2376))</f>
        <v>#REF!</v>
      </c>
    </row>
    <row r="2377" spans="18:18">
      <c r="R2377" s="137" t="e" cm="1">
        <f t="array" ref="R2377">_xlfn._xlws.FILTER(#REF!, E2377:P2377=MIN(E2377:P2377))</f>
        <v>#REF!</v>
      </c>
    </row>
    <row r="2378" spans="18:18">
      <c r="R2378" s="137" t="e" cm="1">
        <f t="array" ref="R2378">_xlfn._xlws.FILTER(#REF!, E2378:P2378=MIN(E2378:P2378))</f>
        <v>#REF!</v>
      </c>
    </row>
    <row r="2379" spans="18:18">
      <c r="R2379" s="137" t="e" cm="1">
        <f t="array" ref="R2379">_xlfn._xlws.FILTER(#REF!, E2379:P2379=MIN(E2379:P2379))</f>
        <v>#REF!</v>
      </c>
    </row>
    <row r="2380" spans="18:18">
      <c r="R2380" s="137" t="e" cm="1">
        <f t="array" ref="R2380">_xlfn._xlws.FILTER(#REF!, E2380:P2380=MIN(E2380:P2380))</f>
        <v>#REF!</v>
      </c>
    </row>
    <row r="2381" spans="18:18">
      <c r="R2381" s="137" t="e" cm="1">
        <f t="array" ref="R2381">_xlfn._xlws.FILTER(#REF!, E2381:P2381=MIN(E2381:P2381))</f>
        <v>#REF!</v>
      </c>
    </row>
    <row r="2382" spans="18:18">
      <c r="R2382" s="137" t="e" cm="1">
        <f t="array" ref="R2382">_xlfn._xlws.FILTER(#REF!, E2382:P2382=MIN(E2382:P2382))</f>
        <v>#REF!</v>
      </c>
    </row>
    <row r="2383" spans="18:18">
      <c r="R2383" s="137" t="e" cm="1">
        <f t="array" ref="R2383">_xlfn._xlws.FILTER(#REF!, E2383:P2383=MIN(E2383:P2383))</f>
        <v>#REF!</v>
      </c>
    </row>
    <row r="2384" spans="18:18">
      <c r="R2384" s="137" t="e" cm="1">
        <f t="array" ref="R2384">_xlfn._xlws.FILTER(#REF!, E2384:P2384=MIN(E2384:P2384))</f>
        <v>#REF!</v>
      </c>
    </row>
    <row r="2385" spans="18:18">
      <c r="R2385" s="137" t="e" cm="1">
        <f t="array" ref="R2385">_xlfn._xlws.FILTER(#REF!, E2385:P2385=MIN(E2385:P2385))</f>
        <v>#REF!</v>
      </c>
    </row>
    <row r="2386" spans="18:18">
      <c r="R2386" s="137" t="e" cm="1">
        <f t="array" ref="R2386">_xlfn._xlws.FILTER(#REF!, E2386:P2386=MIN(E2386:P2386))</f>
        <v>#REF!</v>
      </c>
    </row>
    <row r="2387" spans="18:18">
      <c r="R2387" s="137" t="e" cm="1">
        <f t="array" ref="R2387">_xlfn._xlws.FILTER(#REF!, E2387:P2387=MIN(E2387:P2387))</f>
        <v>#REF!</v>
      </c>
    </row>
    <row r="2388" spans="18:18">
      <c r="R2388" s="137" t="e" cm="1">
        <f t="array" ref="R2388">_xlfn._xlws.FILTER(#REF!, E2388:P2388=MIN(E2388:P2388))</f>
        <v>#REF!</v>
      </c>
    </row>
    <row r="2389" spans="18:18">
      <c r="R2389" s="137" t="e" cm="1">
        <f t="array" ref="R2389">_xlfn._xlws.FILTER(#REF!, E2389:P2389=MIN(E2389:P2389))</f>
        <v>#REF!</v>
      </c>
    </row>
    <row r="2390" spans="18:18">
      <c r="R2390" s="137" t="e" cm="1">
        <f t="array" ref="R2390">_xlfn._xlws.FILTER(#REF!, E2390:P2390=MIN(E2390:P2390))</f>
        <v>#REF!</v>
      </c>
    </row>
    <row r="2391" spans="18:18">
      <c r="R2391" s="137" t="e" cm="1">
        <f t="array" ref="R2391">_xlfn._xlws.FILTER(#REF!, E2391:P2391=MIN(E2391:P2391))</f>
        <v>#REF!</v>
      </c>
    </row>
    <row r="2392" spans="18:18">
      <c r="R2392" s="137" t="e" cm="1">
        <f t="array" ref="R2392">_xlfn._xlws.FILTER(#REF!, E2392:P2392=MIN(E2392:P2392))</f>
        <v>#REF!</v>
      </c>
    </row>
    <row r="2393" spans="18:18">
      <c r="R2393" s="137" t="e" cm="1">
        <f t="array" ref="R2393">_xlfn._xlws.FILTER(#REF!, E2393:P2393=MIN(E2393:P2393))</f>
        <v>#REF!</v>
      </c>
    </row>
    <row r="2394" spans="18:18">
      <c r="R2394" s="137" t="e" cm="1">
        <f t="array" ref="R2394">_xlfn._xlws.FILTER(#REF!, E2394:P2394=MIN(E2394:P2394))</f>
        <v>#REF!</v>
      </c>
    </row>
    <row r="2395" spans="18:18">
      <c r="R2395" s="137" t="e" cm="1">
        <f t="array" ref="R2395">_xlfn._xlws.FILTER(#REF!, E2395:P2395=MIN(E2395:P2395))</f>
        <v>#REF!</v>
      </c>
    </row>
    <row r="2396" spans="18:18">
      <c r="R2396" s="137" t="e" cm="1">
        <f t="array" ref="R2396">_xlfn._xlws.FILTER(#REF!, E2396:P2396=MIN(E2396:P2396))</f>
        <v>#REF!</v>
      </c>
    </row>
    <row r="2397" spans="18:18">
      <c r="R2397" s="137" t="e" cm="1">
        <f t="array" ref="R2397">_xlfn._xlws.FILTER(#REF!, E2397:P2397=MIN(E2397:P2397))</f>
        <v>#REF!</v>
      </c>
    </row>
    <row r="2398" spans="18:18">
      <c r="R2398" s="137" t="e" cm="1">
        <f t="array" ref="R2398">_xlfn._xlws.FILTER(#REF!, E2398:P2398=MIN(E2398:P2398))</f>
        <v>#REF!</v>
      </c>
    </row>
    <row r="2399" spans="18:18">
      <c r="R2399" s="137" t="e" cm="1">
        <f t="array" ref="R2399">_xlfn._xlws.FILTER(#REF!, E2399:P2399=MIN(E2399:P2399))</f>
        <v>#REF!</v>
      </c>
    </row>
    <row r="2400" spans="18:18">
      <c r="R2400" s="137" t="e" cm="1">
        <f t="array" ref="R2400">_xlfn._xlws.FILTER(#REF!, E2400:P2400=MIN(E2400:P2400))</f>
        <v>#REF!</v>
      </c>
    </row>
    <row r="2401" spans="18:18">
      <c r="R2401" s="137" t="e" cm="1">
        <f t="array" ref="R2401">_xlfn._xlws.FILTER(#REF!, E2401:P2401=MIN(E2401:P2401))</f>
        <v>#REF!</v>
      </c>
    </row>
    <row r="2402" spans="18:18">
      <c r="R2402" s="137" t="e" cm="1">
        <f t="array" ref="R2402">_xlfn._xlws.FILTER(#REF!, E2402:P2402=MIN(E2402:P2402))</f>
        <v>#REF!</v>
      </c>
    </row>
    <row r="2403" spans="18:18">
      <c r="R2403" s="137" t="e" cm="1">
        <f t="array" ref="R2403">_xlfn._xlws.FILTER(#REF!, E2403:P2403=MIN(E2403:P2403))</f>
        <v>#REF!</v>
      </c>
    </row>
    <row r="2404" spans="18:18">
      <c r="R2404" s="137" t="e" cm="1">
        <f t="array" ref="R2404">_xlfn._xlws.FILTER(#REF!, E2404:P2404=MIN(E2404:P2404))</f>
        <v>#REF!</v>
      </c>
    </row>
    <row r="2405" spans="18:18">
      <c r="R2405" s="137" t="e" cm="1">
        <f t="array" ref="R2405">_xlfn._xlws.FILTER(#REF!, E2405:P2405=MIN(E2405:P2405))</f>
        <v>#REF!</v>
      </c>
    </row>
    <row r="2406" spans="18:18">
      <c r="R2406" s="137" t="e" cm="1">
        <f t="array" ref="R2406">_xlfn._xlws.FILTER(#REF!, E2406:P2406=MIN(E2406:P2406))</f>
        <v>#REF!</v>
      </c>
    </row>
    <row r="2407" spans="18:18">
      <c r="R2407" s="137" t="e" cm="1">
        <f t="array" ref="R2407">_xlfn._xlws.FILTER(#REF!, E2407:P2407=MIN(E2407:P2407))</f>
        <v>#REF!</v>
      </c>
    </row>
    <row r="2408" spans="18:18">
      <c r="R2408" s="137" t="e" cm="1">
        <f t="array" ref="R2408">_xlfn._xlws.FILTER(#REF!, E2408:P2408=MIN(E2408:P2408))</f>
        <v>#REF!</v>
      </c>
    </row>
    <row r="2409" spans="18:18">
      <c r="R2409" s="137" t="e" cm="1">
        <f t="array" ref="R2409">_xlfn._xlws.FILTER(#REF!, E2409:P2409=MIN(E2409:P2409))</f>
        <v>#REF!</v>
      </c>
    </row>
    <row r="2410" spans="18:18">
      <c r="R2410" s="137" t="e" cm="1">
        <f t="array" ref="R2410">_xlfn._xlws.FILTER(#REF!, E2410:P2410=MIN(E2410:P2410))</f>
        <v>#REF!</v>
      </c>
    </row>
    <row r="2411" spans="18:18">
      <c r="R2411" s="137" t="e" cm="1">
        <f t="array" ref="R2411">_xlfn._xlws.FILTER(#REF!, E2411:P2411=MIN(E2411:P2411))</f>
        <v>#REF!</v>
      </c>
    </row>
    <row r="2412" spans="18:18">
      <c r="R2412" s="137" t="e" cm="1">
        <f t="array" ref="R2412">_xlfn._xlws.FILTER(#REF!, E2412:P2412=MIN(E2412:P2412))</f>
        <v>#REF!</v>
      </c>
    </row>
    <row r="2413" spans="18:18">
      <c r="R2413" s="137" t="e" cm="1">
        <f t="array" ref="R2413">_xlfn._xlws.FILTER(#REF!, E2413:P2413=MIN(E2413:P2413))</f>
        <v>#REF!</v>
      </c>
    </row>
    <row r="2414" spans="18:18">
      <c r="R2414" s="137" t="e" cm="1">
        <f t="array" ref="R2414">_xlfn._xlws.FILTER(#REF!, E2414:P2414=MIN(E2414:P2414))</f>
        <v>#REF!</v>
      </c>
    </row>
    <row r="2415" spans="18:18">
      <c r="R2415" s="137" t="e" cm="1">
        <f t="array" ref="R2415">_xlfn._xlws.FILTER(#REF!, E2415:P2415=MIN(E2415:P2415))</f>
        <v>#REF!</v>
      </c>
    </row>
    <row r="2416" spans="18:18">
      <c r="R2416" s="137" t="e" cm="1">
        <f t="array" ref="R2416">_xlfn._xlws.FILTER(#REF!, E2416:P2416=MIN(E2416:P2416))</f>
        <v>#REF!</v>
      </c>
    </row>
    <row r="2417" spans="18:18">
      <c r="R2417" s="137" t="e" cm="1">
        <f t="array" ref="R2417">_xlfn._xlws.FILTER(#REF!, E2417:P2417=MIN(E2417:P2417))</f>
        <v>#REF!</v>
      </c>
    </row>
    <row r="2418" spans="18:18">
      <c r="R2418" s="137" t="e" cm="1">
        <f t="array" ref="R2418">_xlfn._xlws.FILTER(#REF!, E2418:P2418=MIN(E2418:P2418))</f>
        <v>#REF!</v>
      </c>
    </row>
    <row r="2419" spans="18:18">
      <c r="R2419" s="137" t="e" cm="1">
        <f t="array" ref="R2419">_xlfn._xlws.FILTER(#REF!, E2419:P2419=MIN(E2419:P2419))</f>
        <v>#REF!</v>
      </c>
    </row>
    <row r="2420" spans="18:18">
      <c r="R2420" s="137" t="e" cm="1">
        <f t="array" ref="R2420">_xlfn._xlws.FILTER(#REF!, E2420:P2420=MIN(E2420:P2420))</f>
        <v>#REF!</v>
      </c>
    </row>
    <row r="2421" spans="18:18">
      <c r="R2421" s="137" t="e" cm="1">
        <f t="array" ref="R2421">_xlfn._xlws.FILTER(#REF!, E2421:P2421=MIN(E2421:P2421))</f>
        <v>#REF!</v>
      </c>
    </row>
    <row r="2422" spans="18:18">
      <c r="R2422" s="137" t="e" cm="1">
        <f t="array" ref="R2422">_xlfn._xlws.FILTER(#REF!, E2422:P2422=MIN(E2422:P2422))</f>
        <v>#REF!</v>
      </c>
    </row>
    <row r="2423" spans="18:18">
      <c r="R2423" s="137" t="e" cm="1">
        <f t="array" ref="R2423">_xlfn._xlws.FILTER(#REF!, E2423:P2423=MIN(E2423:P2423))</f>
        <v>#REF!</v>
      </c>
    </row>
    <row r="2424" spans="18:18">
      <c r="R2424" s="137" t="e" cm="1">
        <f t="array" ref="R2424">_xlfn._xlws.FILTER(#REF!, E2424:P2424=MIN(E2424:P2424))</f>
        <v>#REF!</v>
      </c>
    </row>
    <row r="2425" spans="18:18">
      <c r="R2425" s="137" t="e" cm="1">
        <f t="array" ref="R2425">_xlfn._xlws.FILTER(#REF!, E2425:P2425=MIN(E2425:P2425))</f>
        <v>#REF!</v>
      </c>
    </row>
    <row r="2426" spans="18:18">
      <c r="R2426" s="137" t="e" cm="1">
        <f t="array" ref="R2426">_xlfn._xlws.FILTER(#REF!, E2426:P2426=MIN(E2426:P2426))</f>
        <v>#REF!</v>
      </c>
    </row>
    <row r="2427" spans="18:18">
      <c r="R2427" s="137" t="e" cm="1">
        <f t="array" ref="R2427">_xlfn._xlws.FILTER(#REF!, E2427:P2427=MIN(E2427:P2427))</f>
        <v>#REF!</v>
      </c>
    </row>
    <row r="2428" spans="18:18">
      <c r="R2428" s="137" t="e" cm="1">
        <f t="array" ref="R2428">_xlfn._xlws.FILTER(#REF!, E2428:P2428=MIN(E2428:P2428))</f>
        <v>#REF!</v>
      </c>
    </row>
    <row r="2429" spans="18:18">
      <c r="R2429" s="137" t="e" cm="1">
        <f t="array" ref="R2429">_xlfn._xlws.FILTER(#REF!, E2429:P2429=MIN(E2429:P2429))</f>
        <v>#REF!</v>
      </c>
    </row>
    <row r="2430" spans="18:18">
      <c r="R2430" s="137" t="e" cm="1">
        <f t="array" ref="R2430">_xlfn._xlws.FILTER(#REF!, E2430:P2430=MIN(E2430:P2430))</f>
        <v>#REF!</v>
      </c>
    </row>
    <row r="2431" spans="18:18">
      <c r="R2431" s="137" t="e" cm="1">
        <f t="array" ref="R2431">_xlfn._xlws.FILTER(#REF!, E2431:P2431=MIN(E2431:P2431))</f>
        <v>#REF!</v>
      </c>
    </row>
    <row r="2432" spans="18:18">
      <c r="R2432" s="137" t="e" cm="1">
        <f t="array" ref="R2432">_xlfn._xlws.FILTER(#REF!, E2432:P2432=MIN(E2432:P2432))</f>
        <v>#REF!</v>
      </c>
    </row>
    <row r="2433" spans="18:18">
      <c r="R2433" s="137" t="e" cm="1">
        <f t="array" ref="R2433">_xlfn._xlws.FILTER(#REF!, E2433:P2433=MIN(E2433:P2433))</f>
        <v>#REF!</v>
      </c>
    </row>
    <row r="2434" spans="18:18">
      <c r="R2434" s="137" t="e" cm="1">
        <f t="array" ref="R2434">_xlfn._xlws.FILTER(#REF!, E2434:P2434=MIN(E2434:P2434))</f>
        <v>#REF!</v>
      </c>
    </row>
    <row r="2435" spans="18:18">
      <c r="R2435" s="137" t="e" cm="1">
        <f t="array" ref="R2435">_xlfn._xlws.FILTER(#REF!, E2435:P2435=MIN(E2435:P2435))</f>
        <v>#REF!</v>
      </c>
    </row>
    <row r="2436" spans="18:18">
      <c r="R2436" s="137" t="e" cm="1">
        <f t="array" ref="R2436">_xlfn._xlws.FILTER(#REF!, E2436:P2436=MIN(E2436:P2436))</f>
        <v>#REF!</v>
      </c>
    </row>
    <row r="2437" spans="18:18">
      <c r="R2437" s="137" t="e" cm="1">
        <f t="array" ref="R2437">_xlfn._xlws.FILTER(#REF!, E2437:P2437=MIN(E2437:P2437))</f>
        <v>#REF!</v>
      </c>
    </row>
    <row r="2438" spans="18:18">
      <c r="R2438" s="137" t="e" cm="1">
        <f t="array" ref="R2438">_xlfn._xlws.FILTER(#REF!, E2438:P2438=MIN(E2438:P2438))</f>
        <v>#REF!</v>
      </c>
    </row>
    <row r="2439" spans="18:18">
      <c r="R2439" s="137" t="e" cm="1">
        <f t="array" ref="R2439">_xlfn._xlws.FILTER(#REF!, E2439:P2439=MIN(E2439:P2439))</f>
        <v>#REF!</v>
      </c>
    </row>
    <row r="2440" spans="18:18">
      <c r="R2440" s="137" t="e" cm="1">
        <f t="array" ref="R2440">_xlfn._xlws.FILTER(#REF!, E2440:P2440=MIN(E2440:P2440))</f>
        <v>#REF!</v>
      </c>
    </row>
    <row r="2441" spans="18:18">
      <c r="R2441" s="137" t="e" cm="1">
        <f t="array" ref="R2441">_xlfn._xlws.FILTER(#REF!, E2441:P2441=MIN(E2441:P2441))</f>
        <v>#REF!</v>
      </c>
    </row>
    <row r="2442" spans="18:18">
      <c r="R2442" s="137" t="e" cm="1">
        <f t="array" ref="R2442">_xlfn._xlws.FILTER(#REF!, E2442:P2442=MIN(E2442:P2442))</f>
        <v>#REF!</v>
      </c>
    </row>
    <row r="2443" spans="18:18">
      <c r="R2443" s="137" t="e" cm="1">
        <f t="array" ref="R2443">_xlfn._xlws.FILTER(#REF!, E2443:P2443=MIN(E2443:P2443))</f>
        <v>#REF!</v>
      </c>
    </row>
    <row r="2444" spans="18:18">
      <c r="R2444" s="137" t="e" cm="1">
        <f t="array" ref="R2444">_xlfn._xlws.FILTER(#REF!, E2444:P2444=MIN(E2444:P2444))</f>
        <v>#REF!</v>
      </c>
    </row>
    <row r="2445" spans="18:18">
      <c r="R2445" s="137" t="e" cm="1">
        <f t="array" ref="R2445">_xlfn._xlws.FILTER(#REF!, E2445:P2445=MIN(E2445:P2445))</f>
        <v>#REF!</v>
      </c>
    </row>
    <row r="2446" spans="18:18">
      <c r="R2446" s="137" t="e" cm="1">
        <f t="array" ref="R2446">_xlfn._xlws.FILTER(#REF!, E2446:P2446=MIN(E2446:P2446))</f>
        <v>#REF!</v>
      </c>
    </row>
    <row r="2447" spans="18:18">
      <c r="R2447" s="137" t="e" cm="1">
        <f t="array" ref="R2447">_xlfn._xlws.FILTER(#REF!, E2447:P2447=MIN(E2447:P2447))</f>
        <v>#REF!</v>
      </c>
    </row>
    <row r="2448" spans="18:18">
      <c r="R2448" s="137" t="e" cm="1">
        <f t="array" ref="R2448">_xlfn._xlws.FILTER(#REF!, E2448:P2448=MIN(E2448:P2448))</f>
        <v>#REF!</v>
      </c>
    </row>
    <row r="2449" spans="18:18">
      <c r="R2449" s="137" t="e" cm="1">
        <f t="array" ref="R2449">_xlfn._xlws.FILTER(#REF!, E2449:P2449=MIN(E2449:P2449))</f>
        <v>#REF!</v>
      </c>
    </row>
    <row r="2450" spans="18:18">
      <c r="R2450" s="137" t="e" cm="1">
        <f t="array" ref="R2450">_xlfn._xlws.FILTER(#REF!, E2450:P2450=MIN(E2450:P2450))</f>
        <v>#REF!</v>
      </c>
    </row>
    <row r="2451" spans="18:18">
      <c r="R2451" s="137" t="e" cm="1">
        <f t="array" ref="R2451">_xlfn._xlws.FILTER(#REF!, E2451:P2451=MIN(E2451:P2451))</f>
        <v>#REF!</v>
      </c>
    </row>
    <row r="2452" spans="18:18">
      <c r="R2452" s="137" t="e" cm="1">
        <f t="array" ref="R2452">_xlfn._xlws.FILTER(#REF!, E2452:P2452=MIN(E2452:P2452))</f>
        <v>#REF!</v>
      </c>
    </row>
    <row r="2453" spans="18:18">
      <c r="R2453" s="137" t="e" cm="1">
        <f t="array" ref="R2453">_xlfn._xlws.FILTER(#REF!, E2453:P2453=MIN(E2453:P2453))</f>
        <v>#REF!</v>
      </c>
    </row>
    <row r="2454" spans="18:18">
      <c r="R2454" s="137" t="e" cm="1">
        <f t="array" ref="R2454">_xlfn._xlws.FILTER(#REF!, E2454:P2454=MIN(E2454:P2454))</f>
        <v>#REF!</v>
      </c>
    </row>
    <row r="2455" spans="18:18">
      <c r="R2455" s="137" t="e" cm="1">
        <f t="array" ref="R2455">_xlfn._xlws.FILTER(#REF!, E2455:P2455=MIN(E2455:P2455))</f>
        <v>#REF!</v>
      </c>
    </row>
    <row r="2456" spans="18:18">
      <c r="R2456" s="137" t="e" cm="1">
        <f t="array" ref="R2456">_xlfn._xlws.FILTER(#REF!, E2456:P2456=MIN(E2456:P2456))</f>
        <v>#REF!</v>
      </c>
    </row>
    <row r="2457" spans="18:18">
      <c r="R2457" s="137" t="e" cm="1">
        <f t="array" ref="R2457">_xlfn._xlws.FILTER(#REF!, E2457:P2457=MIN(E2457:P2457))</f>
        <v>#REF!</v>
      </c>
    </row>
    <row r="2458" spans="18:18">
      <c r="R2458" s="137" t="e" cm="1">
        <f t="array" ref="R2458">_xlfn._xlws.FILTER(#REF!, E2458:P2458=MIN(E2458:P2458))</f>
        <v>#REF!</v>
      </c>
    </row>
    <row r="2459" spans="18:18">
      <c r="R2459" s="137" t="e" cm="1">
        <f t="array" ref="R2459">_xlfn._xlws.FILTER(#REF!, E2459:P2459=MIN(E2459:P2459))</f>
        <v>#REF!</v>
      </c>
    </row>
    <row r="2460" spans="18:18">
      <c r="R2460" s="137" t="e" cm="1">
        <f t="array" ref="R2460">_xlfn._xlws.FILTER(#REF!, E2460:P2460=MIN(E2460:P2460))</f>
        <v>#REF!</v>
      </c>
    </row>
    <row r="2461" spans="18:18">
      <c r="R2461" s="137" t="e" cm="1">
        <f t="array" ref="R2461">_xlfn._xlws.FILTER(#REF!, E2461:P2461=MIN(E2461:P2461))</f>
        <v>#REF!</v>
      </c>
    </row>
    <row r="2462" spans="18:18">
      <c r="R2462" s="137" t="e" cm="1">
        <f t="array" ref="R2462">_xlfn._xlws.FILTER(#REF!, E2462:P2462=MIN(E2462:P2462))</f>
        <v>#REF!</v>
      </c>
    </row>
    <row r="2463" spans="18:18">
      <c r="R2463" s="137" t="e" cm="1">
        <f t="array" ref="R2463">_xlfn._xlws.FILTER(#REF!, E2463:P2463=MIN(E2463:P2463))</f>
        <v>#REF!</v>
      </c>
    </row>
    <row r="2464" spans="18:18">
      <c r="R2464" s="137" t="e" cm="1">
        <f t="array" ref="R2464">_xlfn._xlws.FILTER(#REF!, E2464:P2464=MIN(E2464:P2464))</f>
        <v>#REF!</v>
      </c>
    </row>
    <row r="2465" spans="18:18">
      <c r="R2465" s="137" t="e" cm="1">
        <f t="array" ref="R2465">_xlfn._xlws.FILTER(#REF!, E2465:P2465=MIN(E2465:P2465))</f>
        <v>#REF!</v>
      </c>
    </row>
    <row r="2466" spans="18:18">
      <c r="R2466" s="137" t="e" cm="1">
        <f t="array" ref="R2466">_xlfn._xlws.FILTER(#REF!, E2466:P2466=MIN(E2466:P2466))</f>
        <v>#REF!</v>
      </c>
    </row>
    <row r="2467" spans="18:18">
      <c r="R2467" s="137" t="e" cm="1">
        <f t="array" ref="R2467">_xlfn._xlws.FILTER(#REF!, E2467:P2467=MIN(E2467:P2467))</f>
        <v>#REF!</v>
      </c>
    </row>
    <row r="2468" spans="18:18">
      <c r="R2468" s="137" t="e" cm="1">
        <f t="array" ref="R2468">_xlfn._xlws.FILTER(#REF!, E2468:P2468=MIN(E2468:P2468))</f>
        <v>#REF!</v>
      </c>
    </row>
    <row r="2469" spans="18:18">
      <c r="R2469" s="137" t="e" cm="1">
        <f t="array" ref="R2469">_xlfn._xlws.FILTER(#REF!, E2469:P2469=MIN(E2469:P2469))</f>
        <v>#REF!</v>
      </c>
    </row>
    <row r="2470" spans="18:18">
      <c r="R2470" s="137" t="e" cm="1">
        <f t="array" ref="R2470">_xlfn._xlws.FILTER(#REF!, E2470:P2470=MIN(E2470:P2470))</f>
        <v>#REF!</v>
      </c>
    </row>
    <row r="2471" spans="18:18">
      <c r="R2471" s="137" t="e" cm="1">
        <f t="array" ref="R2471">_xlfn._xlws.FILTER(#REF!, E2471:P2471=MIN(E2471:P2471))</f>
        <v>#REF!</v>
      </c>
    </row>
    <row r="2472" spans="18:18">
      <c r="R2472" s="137" t="e" cm="1">
        <f t="array" ref="R2472">_xlfn._xlws.FILTER(#REF!, E2472:P2472=MIN(E2472:P2472))</f>
        <v>#REF!</v>
      </c>
    </row>
    <row r="2473" spans="18:18">
      <c r="R2473" s="137" t="e" cm="1">
        <f t="array" ref="R2473">_xlfn._xlws.FILTER(#REF!, E2473:P2473=MIN(E2473:P2473))</f>
        <v>#REF!</v>
      </c>
    </row>
    <row r="2474" spans="18:18">
      <c r="R2474" s="137" t="e" cm="1">
        <f t="array" ref="R2474">_xlfn._xlws.FILTER(#REF!, E2474:P2474=MIN(E2474:P2474))</f>
        <v>#REF!</v>
      </c>
    </row>
    <row r="2475" spans="18:18">
      <c r="R2475" s="137" t="e" cm="1">
        <f t="array" ref="R2475">_xlfn._xlws.FILTER(#REF!, E2475:P2475=MIN(E2475:P2475))</f>
        <v>#REF!</v>
      </c>
    </row>
    <row r="2476" spans="18:18">
      <c r="R2476" s="137" t="e" cm="1">
        <f t="array" ref="R2476">_xlfn._xlws.FILTER(#REF!, E2476:P2476=MIN(E2476:P2476))</f>
        <v>#REF!</v>
      </c>
    </row>
    <row r="2477" spans="18:18">
      <c r="R2477" s="137" t="e" cm="1">
        <f t="array" ref="R2477">_xlfn._xlws.FILTER(#REF!, E2477:P2477=MIN(E2477:P2477))</f>
        <v>#REF!</v>
      </c>
    </row>
    <row r="2478" spans="18:18">
      <c r="R2478" s="137" t="e" cm="1">
        <f t="array" ref="R2478">_xlfn._xlws.FILTER(#REF!, E2478:P2478=MIN(E2478:P2478))</f>
        <v>#REF!</v>
      </c>
    </row>
    <row r="2479" spans="18:18">
      <c r="R2479" s="137" t="e" cm="1">
        <f t="array" ref="R2479">_xlfn._xlws.FILTER(#REF!, E2479:P2479=MIN(E2479:P2479))</f>
        <v>#REF!</v>
      </c>
    </row>
    <row r="2480" spans="18:18">
      <c r="R2480" s="137" t="e" cm="1">
        <f t="array" ref="R2480">_xlfn._xlws.FILTER(#REF!, E2480:P2480=MIN(E2480:P2480))</f>
        <v>#REF!</v>
      </c>
    </row>
    <row r="2481" spans="18:18">
      <c r="R2481" s="137" t="e" cm="1">
        <f t="array" ref="R2481">_xlfn._xlws.FILTER(#REF!, E2481:P2481=MIN(E2481:P2481))</f>
        <v>#REF!</v>
      </c>
    </row>
    <row r="2482" spans="18:18">
      <c r="R2482" s="137" t="e" cm="1">
        <f t="array" ref="R2482">_xlfn._xlws.FILTER(#REF!, E2482:P2482=MIN(E2482:P2482))</f>
        <v>#REF!</v>
      </c>
    </row>
    <row r="2483" spans="18:18">
      <c r="R2483" s="137" t="e" cm="1">
        <f t="array" ref="R2483">_xlfn._xlws.FILTER(#REF!, E2483:P2483=MIN(E2483:P2483))</f>
        <v>#REF!</v>
      </c>
    </row>
    <row r="2484" spans="18:18">
      <c r="R2484" s="137" t="e" cm="1">
        <f t="array" ref="R2484">_xlfn._xlws.FILTER(#REF!, E2484:P2484=MIN(E2484:P2484))</f>
        <v>#REF!</v>
      </c>
    </row>
    <row r="2485" spans="18:18">
      <c r="R2485" s="137" t="e" cm="1">
        <f t="array" ref="R2485">_xlfn._xlws.FILTER(#REF!, E2485:P2485=MIN(E2485:P2485))</f>
        <v>#REF!</v>
      </c>
    </row>
    <row r="2486" spans="18:18">
      <c r="R2486" s="137" t="e" cm="1">
        <f t="array" ref="R2486">_xlfn._xlws.FILTER(#REF!, E2486:P2486=MIN(E2486:P2486))</f>
        <v>#REF!</v>
      </c>
    </row>
    <row r="2487" spans="18:18">
      <c r="R2487" s="137" t="e" cm="1">
        <f t="array" ref="R2487">_xlfn._xlws.FILTER(#REF!, E2487:P2487=MIN(E2487:P2487))</f>
        <v>#REF!</v>
      </c>
    </row>
    <row r="2488" spans="18:18">
      <c r="R2488" s="137" t="e" cm="1">
        <f t="array" ref="R2488">_xlfn._xlws.FILTER(#REF!, E2488:P2488=MIN(E2488:P2488))</f>
        <v>#REF!</v>
      </c>
    </row>
    <row r="2489" spans="18:18">
      <c r="R2489" s="137" t="e" cm="1">
        <f t="array" ref="R2489">_xlfn._xlws.FILTER(#REF!, E2489:P2489=MIN(E2489:P2489))</f>
        <v>#REF!</v>
      </c>
    </row>
    <row r="2490" spans="18:18">
      <c r="R2490" s="137" t="e" cm="1">
        <f t="array" ref="R2490">_xlfn._xlws.FILTER(#REF!, E2490:P2490=MIN(E2490:P2490))</f>
        <v>#REF!</v>
      </c>
    </row>
    <row r="2491" spans="18:18">
      <c r="R2491" s="137" t="e" cm="1">
        <f t="array" ref="R2491">_xlfn._xlws.FILTER(#REF!, E2491:P2491=MIN(E2491:P2491))</f>
        <v>#REF!</v>
      </c>
    </row>
    <row r="2492" spans="18:18">
      <c r="R2492" s="137" t="e" cm="1">
        <f t="array" ref="R2492">_xlfn._xlws.FILTER(#REF!, E2492:P2492=MIN(E2492:P2492))</f>
        <v>#REF!</v>
      </c>
    </row>
    <row r="2493" spans="18:18">
      <c r="R2493" s="137" t="e" cm="1">
        <f t="array" ref="R2493">_xlfn._xlws.FILTER(#REF!, E2493:P2493=MIN(E2493:P2493))</f>
        <v>#REF!</v>
      </c>
    </row>
    <row r="2494" spans="18:18">
      <c r="R2494" s="137" t="e" cm="1">
        <f t="array" ref="R2494">_xlfn._xlws.FILTER(#REF!, E2494:P2494=MIN(E2494:P2494))</f>
        <v>#REF!</v>
      </c>
    </row>
    <row r="2495" spans="18:18">
      <c r="R2495" s="137" t="e" cm="1">
        <f t="array" ref="R2495">_xlfn._xlws.FILTER(#REF!, E2495:P2495=MIN(E2495:P2495))</f>
        <v>#REF!</v>
      </c>
    </row>
    <row r="2496" spans="18:18">
      <c r="R2496" s="137" t="e" cm="1">
        <f t="array" ref="R2496">_xlfn._xlws.FILTER(#REF!, E2496:P2496=MIN(E2496:P2496))</f>
        <v>#REF!</v>
      </c>
    </row>
    <row r="2497" spans="18:18">
      <c r="R2497" s="137" t="e" cm="1">
        <f t="array" ref="R2497">_xlfn._xlws.FILTER(#REF!, E2497:P2497=MIN(E2497:P2497))</f>
        <v>#REF!</v>
      </c>
    </row>
    <row r="2498" spans="18:18">
      <c r="R2498" s="137" t="e" cm="1">
        <f t="array" ref="R2498">_xlfn._xlws.FILTER(#REF!, E2498:P2498=MIN(E2498:P2498))</f>
        <v>#REF!</v>
      </c>
    </row>
    <row r="2499" spans="18:18">
      <c r="R2499" s="137" t="e" cm="1">
        <f t="array" ref="R2499">_xlfn._xlws.FILTER(#REF!, E2499:P2499=MIN(E2499:P2499))</f>
        <v>#REF!</v>
      </c>
    </row>
    <row r="2500" spans="18:18">
      <c r="R2500" s="137" t="e" cm="1">
        <f t="array" ref="R2500">_xlfn._xlws.FILTER(#REF!, E2500:P2500=MIN(E2500:P2500))</f>
        <v>#REF!</v>
      </c>
    </row>
    <row r="2501" spans="18:18">
      <c r="R2501" s="137" t="e" cm="1">
        <f t="array" ref="R2501">_xlfn._xlws.FILTER(#REF!, E2501:P2501=MIN(E2501:P2501))</f>
        <v>#REF!</v>
      </c>
    </row>
    <row r="2502" spans="18:18">
      <c r="R2502" s="137" t="e" cm="1">
        <f t="array" ref="R2502">_xlfn._xlws.FILTER(#REF!, E2502:P2502=MIN(E2502:P2502))</f>
        <v>#REF!</v>
      </c>
    </row>
    <row r="2503" spans="18:18">
      <c r="R2503" s="137" t="e" cm="1">
        <f t="array" ref="R2503">_xlfn._xlws.FILTER(#REF!, E2503:P2503=MIN(E2503:P2503))</f>
        <v>#REF!</v>
      </c>
    </row>
    <row r="2504" spans="18:18">
      <c r="R2504" s="137" t="e" cm="1">
        <f t="array" ref="R2504">_xlfn._xlws.FILTER(#REF!, E2504:P2504=MIN(E2504:P2504))</f>
        <v>#REF!</v>
      </c>
    </row>
    <row r="2505" spans="18:18">
      <c r="R2505" s="137" t="e" cm="1">
        <f t="array" ref="R2505">_xlfn._xlws.FILTER(#REF!, E2505:P2505=MIN(E2505:P2505))</f>
        <v>#REF!</v>
      </c>
    </row>
    <row r="2506" spans="18:18">
      <c r="R2506" s="137" t="e" cm="1">
        <f t="array" ref="R2506">_xlfn._xlws.FILTER(#REF!, E2506:P2506=MIN(E2506:P2506))</f>
        <v>#REF!</v>
      </c>
    </row>
    <row r="2507" spans="18:18">
      <c r="R2507" s="137" t="e" cm="1">
        <f t="array" ref="R2507">_xlfn._xlws.FILTER(#REF!, E2507:P2507=MIN(E2507:P2507))</f>
        <v>#REF!</v>
      </c>
    </row>
    <row r="2508" spans="18:18">
      <c r="R2508" s="137" t="e" cm="1">
        <f t="array" ref="R2508">_xlfn._xlws.FILTER(#REF!, E2508:P2508=MIN(E2508:P2508))</f>
        <v>#REF!</v>
      </c>
    </row>
    <row r="2509" spans="18:18">
      <c r="R2509" s="137" t="e" cm="1">
        <f t="array" ref="R2509">_xlfn._xlws.FILTER(#REF!, E2509:P2509=MIN(E2509:P2509))</f>
        <v>#REF!</v>
      </c>
    </row>
    <row r="2510" spans="18:18">
      <c r="R2510" s="137" t="e" cm="1">
        <f t="array" ref="R2510">_xlfn._xlws.FILTER(#REF!, E2510:P2510=MIN(E2510:P2510))</f>
        <v>#REF!</v>
      </c>
    </row>
    <row r="2511" spans="18:18">
      <c r="R2511" s="137" t="e" cm="1">
        <f t="array" ref="R2511">_xlfn._xlws.FILTER(#REF!, E2511:P2511=MIN(E2511:P2511))</f>
        <v>#REF!</v>
      </c>
    </row>
    <row r="2512" spans="18:18">
      <c r="R2512" s="137" t="e" cm="1">
        <f t="array" ref="R2512">_xlfn._xlws.FILTER(#REF!, E2512:P2512=MIN(E2512:P2512))</f>
        <v>#REF!</v>
      </c>
    </row>
    <row r="2513" spans="18:18">
      <c r="R2513" s="137" t="e" cm="1">
        <f t="array" ref="R2513">_xlfn._xlws.FILTER(#REF!, E2513:P2513=MIN(E2513:P2513))</f>
        <v>#REF!</v>
      </c>
    </row>
    <row r="2514" spans="18:18">
      <c r="R2514" s="137" t="e" cm="1">
        <f t="array" ref="R2514">_xlfn._xlws.FILTER(#REF!, E2514:P2514=MIN(E2514:P2514))</f>
        <v>#REF!</v>
      </c>
    </row>
    <row r="2515" spans="18:18">
      <c r="R2515" s="137" t="e" cm="1">
        <f t="array" ref="R2515">_xlfn._xlws.FILTER(#REF!, E2515:P2515=MIN(E2515:P2515))</f>
        <v>#REF!</v>
      </c>
    </row>
    <row r="2516" spans="18:18">
      <c r="R2516" s="137" t="e" cm="1">
        <f t="array" ref="R2516">_xlfn._xlws.FILTER(#REF!, E2516:P2516=MIN(E2516:P2516))</f>
        <v>#REF!</v>
      </c>
    </row>
    <row r="2517" spans="18:18">
      <c r="R2517" s="137" t="e" cm="1">
        <f t="array" ref="R2517">_xlfn._xlws.FILTER(#REF!, E2517:P2517=MIN(E2517:P2517))</f>
        <v>#REF!</v>
      </c>
    </row>
    <row r="2518" spans="18:18">
      <c r="R2518" s="137" t="e" cm="1">
        <f t="array" ref="R2518">_xlfn._xlws.FILTER(#REF!, E2518:P2518=MIN(E2518:P2518))</f>
        <v>#REF!</v>
      </c>
    </row>
    <row r="2519" spans="18:18">
      <c r="R2519" s="137" t="e" cm="1">
        <f t="array" ref="R2519">_xlfn._xlws.FILTER(#REF!, E2519:P2519=MIN(E2519:P2519))</f>
        <v>#REF!</v>
      </c>
    </row>
    <row r="2520" spans="18:18">
      <c r="R2520" s="137" t="e" cm="1">
        <f t="array" ref="R2520">_xlfn._xlws.FILTER(#REF!, E2520:P2520=MIN(E2520:P2520))</f>
        <v>#REF!</v>
      </c>
    </row>
    <row r="2521" spans="18:18">
      <c r="R2521" s="137" t="e" cm="1">
        <f t="array" ref="R2521">_xlfn._xlws.FILTER(#REF!, E2521:P2521=MIN(E2521:P2521))</f>
        <v>#REF!</v>
      </c>
    </row>
    <row r="2522" spans="18:18">
      <c r="R2522" s="137" t="e" cm="1">
        <f t="array" ref="R2522">_xlfn._xlws.FILTER(#REF!, E2522:P2522=MIN(E2522:P2522))</f>
        <v>#REF!</v>
      </c>
    </row>
    <row r="2523" spans="18:18">
      <c r="R2523" s="137" t="e" cm="1">
        <f t="array" ref="R2523">_xlfn._xlws.FILTER(#REF!, E2523:P2523=MIN(E2523:P2523))</f>
        <v>#REF!</v>
      </c>
    </row>
    <row r="2524" spans="18:18">
      <c r="R2524" s="137" t="e" cm="1">
        <f t="array" ref="R2524">_xlfn._xlws.FILTER(#REF!, E2524:P2524=MIN(E2524:P2524))</f>
        <v>#REF!</v>
      </c>
    </row>
    <row r="2525" spans="18:18">
      <c r="R2525" s="137" t="e" cm="1">
        <f t="array" ref="R2525">_xlfn._xlws.FILTER(#REF!, E2525:P2525=MIN(E2525:P2525))</f>
        <v>#REF!</v>
      </c>
    </row>
    <row r="2526" spans="18:18">
      <c r="R2526" s="137" t="e" cm="1">
        <f t="array" ref="R2526">_xlfn._xlws.FILTER(#REF!, E2526:P2526=MIN(E2526:P2526))</f>
        <v>#REF!</v>
      </c>
    </row>
    <row r="2527" spans="18:18">
      <c r="R2527" s="137" t="e" cm="1">
        <f t="array" ref="R2527">_xlfn._xlws.FILTER(#REF!, E2527:P2527=MIN(E2527:P2527))</f>
        <v>#REF!</v>
      </c>
    </row>
    <row r="2528" spans="18:18">
      <c r="R2528" s="137" t="e" cm="1">
        <f t="array" ref="R2528">_xlfn._xlws.FILTER(#REF!, E2528:P2528=MIN(E2528:P2528))</f>
        <v>#REF!</v>
      </c>
    </row>
    <row r="2529" spans="18:18">
      <c r="R2529" s="137" t="e" cm="1">
        <f t="array" ref="R2529">_xlfn._xlws.FILTER(#REF!, E2529:P2529=MIN(E2529:P2529))</f>
        <v>#REF!</v>
      </c>
    </row>
    <row r="2530" spans="18:18">
      <c r="R2530" s="137" t="e" cm="1">
        <f t="array" ref="R2530">_xlfn._xlws.FILTER(#REF!, E2530:P2530=MIN(E2530:P2530))</f>
        <v>#REF!</v>
      </c>
    </row>
    <row r="2531" spans="18:18">
      <c r="R2531" s="137" t="e" cm="1">
        <f t="array" ref="R2531">_xlfn._xlws.FILTER(#REF!, E2531:P2531=MIN(E2531:P2531))</f>
        <v>#REF!</v>
      </c>
    </row>
    <row r="2532" spans="18:18">
      <c r="R2532" s="137" t="e" cm="1">
        <f t="array" ref="R2532">_xlfn._xlws.FILTER(#REF!, E2532:P2532=MIN(E2532:P2532))</f>
        <v>#REF!</v>
      </c>
    </row>
    <row r="2533" spans="18:18">
      <c r="R2533" s="137" t="e" cm="1">
        <f t="array" ref="R2533">_xlfn._xlws.FILTER(#REF!, E2533:P2533=MIN(E2533:P2533))</f>
        <v>#REF!</v>
      </c>
    </row>
    <row r="2534" spans="18:18">
      <c r="R2534" s="137" t="e" cm="1">
        <f t="array" ref="R2534">_xlfn._xlws.FILTER(#REF!, E2534:P2534=MIN(E2534:P2534))</f>
        <v>#REF!</v>
      </c>
    </row>
    <row r="2535" spans="18:18">
      <c r="R2535" s="137" t="e" cm="1">
        <f t="array" ref="R2535">_xlfn._xlws.FILTER(#REF!, E2535:P2535=MIN(E2535:P2535))</f>
        <v>#REF!</v>
      </c>
    </row>
    <row r="2536" spans="18:18">
      <c r="R2536" s="137" t="e" cm="1">
        <f t="array" ref="R2536">_xlfn._xlws.FILTER(#REF!, E2536:P2536=MIN(E2536:P2536))</f>
        <v>#REF!</v>
      </c>
    </row>
    <row r="2537" spans="18:18">
      <c r="R2537" s="137" t="e" cm="1">
        <f t="array" ref="R2537">_xlfn._xlws.FILTER(#REF!, E2537:P2537=MIN(E2537:P2537))</f>
        <v>#REF!</v>
      </c>
    </row>
    <row r="2538" spans="18:18">
      <c r="R2538" s="137" t="e" cm="1">
        <f t="array" ref="R2538">_xlfn._xlws.FILTER(#REF!, E2538:P2538=MIN(E2538:P2538))</f>
        <v>#REF!</v>
      </c>
    </row>
    <row r="2539" spans="18:18">
      <c r="R2539" s="137" t="e" cm="1">
        <f t="array" ref="R2539">_xlfn._xlws.FILTER(#REF!, E2539:P2539=MIN(E2539:P2539))</f>
        <v>#REF!</v>
      </c>
    </row>
    <row r="2540" spans="18:18">
      <c r="R2540" s="137" t="e" cm="1">
        <f t="array" ref="R2540">_xlfn._xlws.FILTER(#REF!, E2540:P2540=MIN(E2540:P2540))</f>
        <v>#REF!</v>
      </c>
    </row>
    <row r="2541" spans="18:18">
      <c r="R2541" s="137" t="e" cm="1">
        <f t="array" ref="R2541">_xlfn._xlws.FILTER(#REF!, E2541:P2541=MIN(E2541:P2541))</f>
        <v>#REF!</v>
      </c>
    </row>
    <row r="2542" spans="18:18">
      <c r="R2542" s="137" t="e" cm="1">
        <f t="array" ref="R2542">_xlfn._xlws.FILTER(#REF!, E2542:P2542=MIN(E2542:P2542))</f>
        <v>#REF!</v>
      </c>
    </row>
    <row r="2543" spans="18:18">
      <c r="R2543" s="137" t="e" cm="1">
        <f t="array" ref="R2543">_xlfn._xlws.FILTER(#REF!, E2543:P2543=MIN(E2543:P2543))</f>
        <v>#REF!</v>
      </c>
    </row>
    <row r="2544" spans="18:18">
      <c r="R2544" s="137" t="e" cm="1">
        <f t="array" ref="R2544">_xlfn._xlws.FILTER(#REF!, E2544:P2544=MIN(E2544:P2544))</f>
        <v>#REF!</v>
      </c>
    </row>
    <row r="2545" spans="18:18">
      <c r="R2545" s="137" t="e" cm="1">
        <f t="array" ref="R2545">_xlfn._xlws.FILTER(#REF!, E2545:P2545=MIN(E2545:P2545))</f>
        <v>#REF!</v>
      </c>
    </row>
    <row r="2546" spans="18:18">
      <c r="R2546" s="137" t="e" cm="1">
        <f t="array" ref="R2546">_xlfn._xlws.FILTER(#REF!, E2546:P2546=MIN(E2546:P2546))</f>
        <v>#REF!</v>
      </c>
    </row>
    <row r="2547" spans="18:18">
      <c r="R2547" s="137" t="e" cm="1">
        <f t="array" ref="R2547">_xlfn._xlws.FILTER(#REF!, E2547:P2547=MIN(E2547:P2547))</f>
        <v>#REF!</v>
      </c>
    </row>
    <row r="2548" spans="18:18">
      <c r="R2548" s="137" t="e" cm="1">
        <f t="array" ref="R2548">_xlfn._xlws.FILTER(#REF!, E2548:P2548=MIN(E2548:P2548))</f>
        <v>#REF!</v>
      </c>
    </row>
    <row r="2549" spans="18:18">
      <c r="R2549" s="137" t="e" cm="1">
        <f t="array" ref="R2549">_xlfn._xlws.FILTER(#REF!, E2549:P2549=MIN(E2549:P2549))</f>
        <v>#REF!</v>
      </c>
    </row>
    <row r="2550" spans="18:18">
      <c r="R2550" s="137" t="e" cm="1">
        <f t="array" ref="R2550">_xlfn._xlws.FILTER(#REF!, E2550:P2550=MIN(E2550:P2550))</f>
        <v>#REF!</v>
      </c>
    </row>
    <row r="2551" spans="18:18">
      <c r="R2551" s="137" t="e" cm="1">
        <f t="array" ref="R2551">_xlfn._xlws.FILTER(#REF!, E2551:P2551=MIN(E2551:P2551))</f>
        <v>#REF!</v>
      </c>
    </row>
    <row r="2552" spans="18:18">
      <c r="R2552" s="137" t="e" cm="1">
        <f t="array" ref="R2552">_xlfn._xlws.FILTER(#REF!, E2552:P2552=MIN(E2552:P2552))</f>
        <v>#REF!</v>
      </c>
    </row>
    <row r="2553" spans="18:18">
      <c r="R2553" s="137" t="e" cm="1">
        <f t="array" ref="R2553">_xlfn._xlws.FILTER(#REF!, E2553:P2553=MIN(E2553:P2553))</f>
        <v>#REF!</v>
      </c>
    </row>
    <row r="2554" spans="18:18">
      <c r="R2554" s="137" t="e" cm="1">
        <f t="array" ref="R2554">_xlfn._xlws.FILTER(#REF!, E2554:P2554=MIN(E2554:P2554))</f>
        <v>#REF!</v>
      </c>
    </row>
    <row r="2555" spans="18:18">
      <c r="R2555" s="137" t="e" cm="1">
        <f t="array" ref="R2555">_xlfn._xlws.FILTER(#REF!, E2555:P2555=MIN(E2555:P2555))</f>
        <v>#REF!</v>
      </c>
    </row>
    <row r="2556" spans="18:18">
      <c r="R2556" s="137" t="e" cm="1">
        <f t="array" ref="R2556">_xlfn._xlws.FILTER(#REF!, E2556:P2556=MIN(E2556:P2556))</f>
        <v>#REF!</v>
      </c>
    </row>
    <row r="2557" spans="18:18">
      <c r="R2557" s="137" t="e" cm="1">
        <f t="array" ref="R2557">_xlfn._xlws.FILTER(#REF!, E2557:P2557=MIN(E2557:P2557))</f>
        <v>#REF!</v>
      </c>
    </row>
    <row r="2558" spans="18:18">
      <c r="R2558" s="137" t="e" cm="1">
        <f t="array" ref="R2558">_xlfn._xlws.FILTER(#REF!, E2558:P2558=MIN(E2558:P2558))</f>
        <v>#REF!</v>
      </c>
    </row>
    <row r="2559" spans="18:18">
      <c r="R2559" s="137" t="e" cm="1">
        <f t="array" ref="R2559">_xlfn._xlws.FILTER(#REF!, E2559:P2559=MIN(E2559:P2559))</f>
        <v>#REF!</v>
      </c>
    </row>
    <row r="2560" spans="18:18">
      <c r="R2560" s="137" t="e" cm="1">
        <f t="array" ref="R2560">_xlfn._xlws.FILTER(#REF!, E2560:P2560=MIN(E2560:P2560))</f>
        <v>#REF!</v>
      </c>
    </row>
    <row r="2561" spans="18:18">
      <c r="R2561" s="137" t="e" cm="1">
        <f t="array" ref="R2561">_xlfn._xlws.FILTER(#REF!, E2561:P2561=MIN(E2561:P2561))</f>
        <v>#REF!</v>
      </c>
    </row>
    <row r="2562" spans="18:18">
      <c r="R2562" s="137" t="e" cm="1">
        <f t="array" ref="R2562">_xlfn._xlws.FILTER(#REF!, E2562:P2562=MIN(E2562:P2562))</f>
        <v>#REF!</v>
      </c>
    </row>
    <row r="2563" spans="18:18">
      <c r="R2563" s="137" t="e" cm="1">
        <f t="array" ref="R2563">_xlfn._xlws.FILTER(#REF!, E2563:P2563=MIN(E2563:P2563))</f>
        <v>#REF!</v>
      </c>
    </row>
    <row r="2564" spans="18:18">
      <c r="R2564" s="137" t="e" cm="1">
        <f t="array" ref="R2564">_xlfn._xlws.FILTER(#REF!, E2564:P2564=MIN(E2564:P2564))</f>
        <v>#REF!</v>
      </c>
    </row>
    <row r="2565" spans="18:18">
      <c r="R2565" s="137" t="e" cm="1">
        <f t="array" ref="R2565">_xlfn._xlws.FILTER(#REF!, E2565:P2565=MIN(E2565:P2565))</f>
        <v>#REF!</v>
      </c>
    </row>
    <row r="2566" spans="18:18">
      <c r="R2566" s="137" t="e" cm="1">
        <f t="array" ref="R2566">_xlfn._xlws.FILTER(#REF!, E2566:P2566=MIN(E2566:P2566))</f>
        <v>#REF!</v>
      </c>
    </row>
    <row r="2567" spans="18:18">
      <c r="R2567" s="137" t="e" cm="1">
        <f t="array" ref="R2567">_xlfn._xlws.FILTER(#REF!, E2567:P2567=MIN(E2567:P2567))</f>
        <v>#REF!</v>
      </c>
    </row>
    <row r="2568" spans="18:18">
      <c r="R2568" s="137" t="e" cm="1">
        <f t="array" ref="R2568">_xlfn._xlws.FILTER(#REF!, E2568:P2568=MIN(E2568:P2568))</f>
        <v>#REF!</v>
      </c>
    </row>
    <row r="2569" spans="18:18">
      <c r="R2569" s="137" t="e" cm="1">
        <f t="array" ref="R2569">_xlfn._xlws.FILTER(#REF!, E2569:P2569=MIN(E2569:P2569))</f>
        <v>#REF!</v>
      </c>
    </row>
    <row r="2570" spans="18:18">
      <c r="R2570" s="137" t="e" cm="1">
        <f t="array" ref="R2570">_xlfn._xlws.FILTER(#REF!, E2570:P2570=MIN(E2570:P2570))</f>
        <v>#REF!</v>
      </c>
    </row>
    <row r="2571" spans="18:18">
      <c r="R2571" s="137" t="e" cm="1">
        <f t="array" ref="R2571">_xlfn._xlws.FILTER(#REF!, E2571:P2571=MIN(E2571:P2571))</f>
        <v>#REF!</v>
      </c>
    </row>
    <row r="2572" spans="18:18">
      <c r="R2572" s="137" t="e" cm="1">
        <f t="array" ref="R2572">_xlfn._xlws.FILTER(#REF!, E2572:P2572=MIN(E2572:P2572))</f>
        <v>#REF!</v>
      </c>
    </row>
    <row r="2573" spans="18:18">
      <c r="R2573" s="137" t="e" cm="1">
        <f t="array" ref="R2573">_xlfn._xlws.FILTER(#REF!, E2573:P2573=MIN(E2573:P2573))</f>
        <v>#REF!</v>
      </c>
    </row>
    <row r="2574" spans="18:18">
      <c r="R2574" s="137" t="e" cm="1">
        <f t="array" ref="R2574">_xlfn._xlws.FILTER(#REF!, E2574:P2574=MIN(E2574:P2574))</f>
        <v>#REF!</v>
      </c>
    </row>
    <row r="2575" spans="18:18">
      <c r="R2575" s="137" t="e" cm="1">
        <f t="array" ref="R2575">_xlfn._xlws.FILTER(#REF!, E2575:P2575=MIN(E2575:P2575))</f>
        <v>#REF!</v>
      </c>
    </row>
    <row r="2576" spans="18:18">
      <c r="R2576" s="137" t="e" cm="1">
        <f t="array" ref="R2576">_xlfn._xlws.FILTER(#REF!, E2576:P2576=MIN(E2576:P2576))</f>
        <v>#REF!</v>
      </c>
    </row>
    <row r="2577" spans="18:18">
      <c r="R2577" s="137" t="e" cm="1">
        <f t="array" ref="R2577">_xlfn._xlws.FILTER(#REF!, E2577:P2577=MIN(E2577:P2577))</f>
        <v>#REF!</v>
      </c>
    </row>
    <row r="2578" spans="18:18">
      <c r="R2578" s="137" t="e" cm="1">
        <f t="array" ref="R2578">_xlfn._xlws.FILTER(#REF!, E2578:P2578=MIN(E2578:P2578))</f>
        <v>#REF!</v>
      </c>
    </row>
    <row r="2579" spans="18:18">
      <c r="R2579" s="137" t="e" cm="1">
        <f t="array" ref="R2579">_xlfn._xlws.FILTER(#REF!, E2579:P2579=MIN(E2579:P2579))</f>
        <v>#REF!</v>
      </c>
    </row>
    <row r="2580" spans="18:18">
      <c r="R2580" s="137" t="e" cm="1">
        <f t="array" ref="R2580">_xlfn._xlws.FILTER(#REF!, E2580:P2580=MIN(E2580:P2580))</f>
        <v>#REF!</v>
      </c>
    </row>
    <row r="2581" spans="18:18">
      <c r="R2581" s="137" t="e" cm="1">
        <f t="array" ref="R2581">_xlfn._xlws.FILTER(#REF!, E2581:P2581=MIN(E2581:P2581))</f>
        <v>#REF!</v>
      </c>
    </row>
    <row r="2582" spans="18:18">
      <c r="R2582" s="137" t="e" cm="1">
        <f t="array" ref="R2582">_xlfn._xlws.FILTER(#REF!, E2582:P2582=MIN(E2582:P2582))</f>
        <v>#REF!</v>
      </c>
    </row>
    <row r="2583" spans="18:18">
      <c r="R2583" s="137" t="e" cm="1">
        <f t="array" ref="R2583">_xlfn._xlws.FILTER(#REF!, E2583:P2583=MIN(E2583:P2583))</f>
        <v>#REF!</v>
      </c>
    </row>
    <row r="2584" spans="18:18">
      <c r="R2584" s="137" t="e" cm="1">
        <f t="array" ref="R2584">_xlfn._xlws.FILTER(#REF!, E2584:P2584=MIN(E2584:P2584))</f>
        <v>#REF!</v>
      </c>
    </row>
    <row r="2585" spans="18:18">
      <c r="R2585" s="137" t="e" cm="1">
        <f t="array" ref="R2585">_xlfn._xlws.FILTER(#REF!, E2585:P2585=MIN(E2585:P2585))</f>
        <v>#REF!</v>
      </c>
    </row>
    <row r="2586" spans="18:18">
      <c r="R2586" s="137" t="e" cm="1">
        <f t="array" ref="R2586">_xlfn._xlws.FILTER(#REF!, E2586:P2586=MIN(E2586:P2586))</f>
        <v>#REF!</v>
      </c>
    </row>
    <row r="2587" spans="18:18">
      <c r="R2587" s="137" t="e" cm="1">
        <f t="array" ref="R2587">_xlfn._xlws.FILTER(#REF!, E2587:P2587=MIN(E2587:P2587))</f>
        <v>#REF!</v>
      </c>
    </row>
    <row r="2588" spans="18:18">
      <c r="R2588" s="137" t="e" cm="1">
        <f t="array" ref="R2588">_xlfn._xlws.FILTER(#REF!, E2588:P2588=MIN(E2588:P2588))</f>
        <v>#REF!</v>
      </c>
    </row>
    <row r="2589" spans="18:18">
      <c r="R2589" s="137" t="e" cm="1">
        <f t="array" ref="R2589">_xlfn._xlws.FILTER(#REF!, E2589:P2589=MIN(E2589:P2589))</f>
        <v>#REF!</v>
      </c>
    </row>
    <row r="2590" spans="18:18">
      <c r="R2590" s="137" t="e" cm="1">
        <f t="array" ref="R2590">_xlfn._xlws.FILTER(#REF!, E2590:P2590=MIN(E2590:P2590))</f>
        <v>#REF!</v>
      </c>
    </row>
    <row r="2591" spans="18:18">
      <c r="R2591" s="137" t="e" cm="1">
        <f t="array" ref="R2591">_xlfn._xlws.FILTER(#REF!, E2591:P2591=MIN(E2591:P2591))</f>
        <v>#REF!</v>
      </c>
    </row>
    <row r="2592" spans="18:18">
      <c r="R2592" s="137" t="e" cm="1">
        <f t="array" ref="R2592">_xlfn._xlws.FILTER(#REF!, E2592:P2592=MIN(E2592:P2592))</f>
        <v>#REF!</v>
      </c>
    </row>
    <row r="2593" spans="18:18">
      <c r="R2593" s="137" t="e" cm="1">
        <f t="array" ref="R2593">_xlfn._xlws.FILTER(#REF!, E2593:P2593=MIN(E2593:P2593))</f>
        <v>#REF!</v>
      </c>
    </row>
    <row r="2594" spans="18:18">
      <c r="R2594" s="137" t="e" cm="1">
        <f t="array" ref="R2594">_xlfn._xlws.FILTER(#REF!, E2594:P2594=MIN(E2594:P2594))</f>
        <v>#REF!</v>
      </c>
    </row>
    <row r="2595" spans="18:18">
      <c r="R2595" s="137" t="e" cm="1">
        <f t="array" ref="R2595">_xlfn._xlws.FILTER(#REF!, E2595:P2595=MIN(E2595:P2595))</f>
        <v>#REF!</v>
      </c>
    </row>
    <row r="2596" spans="18:18">
      <c r="R2596" s="137" t="e" cm="1">
        <f t="array" ref="R2596">_xlfn._xlws.FILTER(#REF!, E2596:P2596=MIN(E2596:P2596))</f>
        <v>#REF!</v>
      </c>
    </row>
    <row r="2597" spans="18:18">
      <c r="R2597" s="137" t="e" cm="1">
        <f t="array" ref="R2597">_xlfn._xlws.FILTER(#REF!, E2597:P2597=MIN(E2597:P2597))</f>
        <v>#REF!</v>
      </c>
    </row>
    <row r="2598" spans="18:18">
      <c r="R2598" s="137" t="e" cm="1">
        <f t="array" ref="R2598">_xlfn._xlws.FILTER(#REF!, E2598:P2598=MIN(E2598:P2598))</f>
        <v>#REF!</v>
      </c>
    </row>
    <row r="2599" spans="18:18">
      <c r="R2599" s="137" t="e" cm="1">
        <f t="array" ref="R2599">_xlfn._xlws.FILTER(#REF!, E2599:P2599=MIN(E2599:P2599))</f>
        <v>#REF!</v>
      </c>
    </row>
    <row r="2600" spans="18:18">
      <c r="R2600" s="137" t="e" cm="1">
        <f t="array" ref="R2600">_xlfn._xlws.FILTER(#REF!, E2600:P2600=MIN(E2600:P2600))</f>
        <v>#REF!</v>
      </c>
    </row>
    <row r="2601" spans="18:18">
      <c r="R2601" s="137" t="e" cm="1">
        <f t="array" ref="R2601">_xlfn._xlws.FILTER(#REF!, E2601:P2601=MIN(E2601:P2601))</f>
        <v>#REF!</v>
      </c>
    </row>
    <row r="2602" spans="18:18">
      <c r="R2602" s="137" t="e" cm="1">
        <f t="array" ref="R2602">_xlfn._xlws.FILTER(#REF!, E2602:P2602=MIN(E2602:P2602))</f>
        <v>#REF!</v>
      </c>
    </row>
    <row r="2603" spans="18:18">
      <c r="R2603" s="137" t="e" cm="1">
        <f t="array" ref="R2603">_xlfn._xlws.FILTER(#REF!, E2603:P2603=MIN(E2603:P2603))</f>
        <v>#REF!</v>
      </c>
    </row>
    <row r="2604" spans="18:18">
      <c r="R2604" s="137" t="e" cm="1">
        <f t="array" ref="R2604">_xlfn._xlws.FILTER(#REF!, E2604:P2604=MIN(E2604:P2604))</f>
        <v>#REF!</v>
      </c>
    </row>
    <row r="2605" spans="18:18">
      <c r="R2605" s="137" t="e" cm="1">
        <f t="array" ref="R2605">_xlfn._xlws.FILTER(#REF!, E2605:P2605=MIN(E2605:P2605))</f>
        <v>#REF!</v>
      </c>
    </row>
    <row r="2606" spans="18:18">
      <c r="R2606" s="137" t="e" cm="1">
        <f t="array" ref="R2606">_xlfn._xlws.FILTER(#REF!, E2606:P2606=MIN(E2606:P2606))</f>
        <v>#REF!</v>
      </c>
    </row>
    <row r="2607" spans="18:18">
      <c r="R2607" s="137" t="e" cm="1">
        <f t="array" ref="R2607">_xlfn._xlws.FILTER(#REF!, E2607:P2607=MIN(E2607:P2607))</f>
        <v>#REF!</v>
      </c>
    </row>
    <row r="2608" spans="18:18">
      <c r="R2608" s="137" t="e" cm="1">
        <f t="array" ref="R2608">_xlfn._xlws.FILTER(#REF!, E2608:P2608=MIN(E2608:P2608))</f>
        <v>#REF!</v>
      </c>
    </row>
    <row r="2609" spans="18:18">
      <c r="R2609" s="137" t="e" cm="1">
        <f t="array" ref="R2609">_xlfn._xlws.FILTER(#REF!, E2609:P2609=MIN(E2609:P2609))</f>
        <v>#REF!</v>
      </c>
    </row>
    <row r="2610" spans="18:18">
      <c r="R2610" s="137" t="e" cm="1">
        <f t="array" ref="R2610">_xlfn._xlws.FILTER(#REF!, E2610:P2610=MIN(E2610:P2610))</f>
        <v>#REF!</v>
      </c>
    </row>
    <row r="2611" spans="18:18">
      <c r="R2611" s="137" t="e" cm="1">
        <f t="array" ref="R2611">_xlfn._xlws.FILTER(#REF!, E2611:P2611=MIN(E2611:P2611))</f>
        <v>#REF!</v>
      </c>
    </row>
    <row r="2612" spans="18:18">
      <c r="R2612" s="137" t="e" cm="1">
        <f t="array" ref="R2612">_xlfn._xlws.FILTER(#REF!, E2612:P2612=MIN(E2612:P2612))</f>
        <v>#REF!</v>
      </c>
    </row>
    <row r="2613" spans="18:18">
      <c r="R2613" s="137" t="e" cm="1">
        <f t="array" ref="R2613">_xlfn._xlws.FILTER(#REF!, E2613:P2613=MIN(E2613:P2613))</f>
        <v>#REF!</v>
      </c>
    </row>
    <row r="2614" spans="18:18">
      <c r="R2614" s="137" t="e" cm="1">
        <f t="array" ref="R2614">_xlfn._xlws.FILTER(#REF!, E2614:P2614=MIN(E2614:P2614))</f>
        <v>#REF!</v>
      </c>
    </row>
    <row r="2615" spans="18:18">
      <c r="R2615" s="137" t="e" cm="1">
        <f t="array" ref="R2615">_xlfn._xlws.FILTER(#REF!, E2615:P2615=MIN(E2615:P2615))</f>
        <v>#REF!</v>
      </c>
    </row>
    <row r="2616" spans="18:18">
      <c r="R2616" s="137" t="e" cm="1">
        <f t="array" ref="R2616">_xlfn._xlws.FILTER(#REF!, E2616:P2616=MIN(E2616:P2616))</f>
        <v>#REF!</v>
      </c>
    </row>
    <row r="2617" spans="18:18">
      <c r="R2617" s="137" t="e" cm="1">
        <f t="array" ref="R2617">_xlfn._xlws.FILTER(#REF!, E2617:P2617=MIN(E2617:P2617))</f>
        <v>#REF!</v>
      </c>
    </row>
    <row r="2618" spans="18:18">
      <c r="R2618" s="137" t="e" cm="1">
        <f t="array" ref="R2618">_xlfn._xlws.FILTER(#REF!, E2618:P2618=MIN(E2618:P2618))</f>
        <v>#REF!</v>
      </c>
    </row>
    <row r="2619" spans="18:18">
      <c r="R2619" s="137" t="e" cm="1">
        <f t="array" ref="R2619">_xlfn._xlws.FILTER(#REF!, E2619:P2619=MIN(E2619:P2619))</f>
        <v>#REF!</v>
      </c>
    </row>
    <row r="2620" spans="18:18">
      <c r="R2620" s="137" t="e" cm="1">
        <f t="array" ref="R2620">_xlfn._xlws.FILTER(#REF!, E2620:P2620=MIN(E2620:P2620))</f>
        <v>#REF!</v>
      </c>
    </row>
    <row r="2621" spans="18:18">
      <c r="R2621" s="137" t="e" cm="1">
        <f t="array" ref="R2621">_xlfn._xlws.FILTER(#REF!, E2621:P2621=MIN(E2621:P2621))</f>
        <v>#REF!</v>
      </c>
    </row>
    <row r="2622" spans="18:18">
      <c r="R2622" s="137" t="e" cm="1">
        <f t="array" ref="R2622">_xlfn._xlws.FILTER(#REF!, E2622:P2622=MIN(E2622:P2622))</f>
        <v>#REF!</v>
      </c>
    </row>
    <row r="2623" spans="18:18">
      <c r="R2623" s="137" t="e" cm="1">
        <f t="array" ref="R2623">_xlfn._xlws.FILTER(#REF!, E2623:P2623=MIN(E2623:P2623))</f>
        <v>#REF!</v>
      </c>
    </row>
    <row r="2624" spans="18:18">
      <c r="R2624" s="137" t="e" cm="1">
        <f t="array" ref="R2624">_xlfn._xlws.FILTER(#REF!, E2624:P2624=MIN(E2624:P2624))</f>
        <v>#REF!</v>
      </c>
    </row>
    <row r="2625" spans="18:18">
      <c r="R2625" s="137" t="e" cm="1">
        <f t="array" ref="R2625">_xlfn._xlws.FILTER(#REF!, E2625:P2625=MIN(E2625:P2625))</f>
        <v>#REF!</v>
      </c>
    </row>
    <row r="2626" spans="18:18">
      <c r="R2626" s="137" t="e" cm="1">
        <f t="array" ref="R2626">_xlfn._xlws.FILTER(#REF!, E2626:P2626=MIN(E2626:P2626))</f>
        <v>#REF!</v>
      </c>
    </row>
    <row r="2627" spans="18:18">
      <c r="R2627" s="137" t="e" cm="1">
        <f t="array" ref="R2627">_xlfn._xlws.FILTER(#REF!, E2627:P2627=MIN(E2627:P2627))</f>
        <v>#REF!</v>
      </c>
    </row>
    <row r="2628" spans="18:18">
      <c r="R2628" s="137" t="e" cm="1">
        <f t="array" ref="R2628">_xlfn._xlws.FILTER(#REF!, E2628:P2628=MIN(E2628:P2628))</f>
        <v>#REF!</v>
      </c>
    </row>
    <row r="2629" spans="18:18">
      <c r="R2629" s="137" t="e" cm="1">
        <f t="array" ref="R2629">_xlfn._xlws.FILTER(#REF!, E2629:P2629=MIN(E2629:P2629))</f>
        <v>#REF!</v>
      </c>
    </row>
    <row r="2630" spans="18:18">
      <c r="R2630" s="137" t="e" cm="1">
        <f t="array" ref="R2630">_xlfn._xlws.FILTER(#REF!, E2630:P2630=MIN(E2630:P2630))</f>
        <v>#REF!</v>
      </c>
    </row>
    <row r="2631" spans="18:18">
      <c r="R2631" s="137" t="e" cm="1">
        <f t="array" ref="R2631">_xlfn._xlws.FILTER(#REF!, E2631:P2631=MIN(E2631:P2631))</f>
        <v>#REF!</v>
      </c>
    </row>
    <row r="2632" spans="18:18">
      <c r="R2632" s="137" t="e" cm="1">
        <f t="array" ref="R2632">_xlfn._xlws.FILTER(#REF!, E2632:P2632=MIN(E2632:P2632))</f>
        <v>#REF!</v>
      </c>
    </row>
    <row r="2633" spans="18:18">
      <c r="R2633" s="137" t="e" cm="1">
        <f t="array" ref="R2633">_xlfn._xlws.FILTER(#REF!, E2633:P2633=MIN(E2633:P2633))</f>
        <v>#REF!</v>
      </c>
    </row>
    <row r="2634" spans="18:18">
      <c r="R2634" s="137" t="e" cm="1">
        <f t="array" ref="R2634">_xlfn._xlws.FILTER(#REF!, E2634:P2634=MIN(E2634:P2634))</f>
        <v>#REF!</v>
      </c>
    </row>
    <row r="2635" spans="18:18">
      <c r="R2635" s="137" t="e" cm="1">
        <f t="array" ref="R2635">_xlfn._xlws.FILTER(#REF!, E2635:P2635=MIN(E2635:P2635))</f>
        <v>#REF!</v>
      </c>
    </row>
    <row r="2636" spans="18:18">
      <c r="R2636" s="137" t="e" cm="1">
        <f t="array" ref="R2636">_xlfn._xlws.FILTER(#REF!, E2636:P2636=MIN(E2636:P2636))</f>
        <v>#REF!</v>
      </c>
    </row>
    <row r="2637" spans="18:18">
      <c r="R2637" s="137" t="e" cm="1">
        <f t="array" ref="R2637">_xlfn._xlws.FILTER(#REF!, E2637:P2637=MIN(E2637:P2637))</f>
        <v>#REF!</v>
      </c>
    </row>
    <row r="2638" spans="18:18">
      <c r="R2638" s="137" t="e" cm="1">
        <f t="array" ref="R2638">_xlfn._xlws.FILTER(#REF!, E2638:P2638=MIN(E2638:P2638))</f>
        <v>#REF!</v>
      </c>
    </row>
    <row r="2639" spans="18:18">
      <c r="R2639" s="137" t="e" cm="1">
        <f t="array" ref="R2639">_xlfn._xlws.FILTER(#REF!, E2639:P2639=MIN(E2639:P2639))</f>
        <v>#REF!</v>
      </c>
    </row>
    <row r="2640" spans="18:18">
      <c r="R2640" s="137" t="e" cm="1">
        <f t="array" ref="R2640">_xlfn._xlws.FILTER(#REF!, E2640:P2640=MIN(E2640:P2640))</f>
        <v>#REF!</v>
      </c>
    </row>
    <row r="2641" spans="18:18">
      <c r="R2641" s="137" t="e" cm="1">
        <f t="array" ref="R2641">_xlfn._xlws.FILTER(#REF!, E2641:P2641=MIN(E2641:P2641))</f>
        <v>#REF!</v>
      </c>
    </row>
    <row r="2642" spans="18:18">
      <c r="R2642" s="137" t="e" cm="1">
        <f t="array" ref="R2642">_xlfn._xlws.FILTER(#REF!, E2642:P2642=MIN(E2642:P2642))</f>
        <v>#REF!</v>
      </c>
    </row>
    <row r="2643" spans="18:18">
      <c r="R2643" s="137" t="e" cm="1">
        <f t="array" ref="R2643">_xlfn._xlws.FILTER(#REF!, E2643:P2643=MIN(E2643:P2643))</f>
        <v>#REF!</v>
      </c>
    </row>
    <row r="2644" spans="18:18">
      <c r="R2644" s="137" t="e" cm="1">
        <f t="array" ref="R2644">_xlfn._xlws.FILTER(#REF!, E2644:P2644=MIN(E2644:P2644))</f>
        <v>#REF!</v>
      </c>
    </row>
    <row r="2645" spans="18:18">
      <c r="R2645" s="137" t="e" cm="1">
        <f t="array" ref="R2645">_xlfn._xlws.FILTER(#REF!, E2645:P2645=MIN(E2645:P2645))</f>
        <v>#REF!</v>
      </c>
    </row>
    <row r="2646" spans="18:18">
      <c r="R2646" s="137" t="e" cm="1">
        <f t="array" ref="R2646">_xlfn._xlws.FILTER(#REF!, E2646:P2646=MIN(E2646:P2646))</f>
        <v>#REF!</v>
      </c>
    </row>
    <row r="2647" spans="18:18">
      <c r="R2647" s="137" t="e" cm="1">
        <f t="array" ref="R2647">_xlfn._xlws.FILTER(#REF!, E2647:P2647=MIN(E2647:P2647))</f>
        <v>#REF!</v>
      </c>
    </row>
    <row r="2648" spans="18:18">
      <c r="R2648" s="137" t="e" cm="1">
        <f t="array" ref="R2648">_xlfn._xlws.FILTER(#REF!, E2648:P2648=MIN(E2648:P2648))</f>
        <v>#REF!</v>
      </c>
    </row>
    <row r="2649" spans="18:18">
      <c r="R2649" s="137" t="e" cm="1">
        <f t="array" ref="R2649">_xlfn._xlws.FILTER(#REF!, E2649:P2649=MIN(E2649:P2649))</f>
        <v>#REF!</v>
      </c>
    </row>
    <row r="2650" spans="18:18">
      <c r="R2650" s="137" t="e" cm="1">
        <f t="array" ref="R2650">_xlfn._xlws.FILTER(#REF!, E2650:P2650=MIN(E2650:P2650))</f>
        <v>#REF!</v>
      </c>
    </row>
    <row r="2651" spans="18:18">
      <c r="R2651" s="137" t="e" cm="1">
        <f t="array" ref="R2651">_xlfn._xlws.FILTER(#REF!, E2651:P2651=MIN(E2651:P2651))</f>
        <v>#REF!</v>
      </c>
    </row>
    <row r="2652" spans="18:18">
      <c r="R2652" s="137" t="e" cm="1">
        <f t="array" ref="R2652">_xlfn._xlws.FILTER(#REF!, E2652:P2652=MIN(E2652:P2652))</f>
        <v>#REF!</v>
      </c>
    </row>
    <row r="2653" spans="18:18">
      <c r="R2653" s="137" t="e" cm="1">
        <f t="array" ref="R2653">_xlfn._xlws.FILTER(#REF!, E2653:P2653=MIN(E2653:P2653))</f>
        <v>#REF!</v>
      </c>
    </row>
    <row r="2654" spans="18:18">
      <c r="R2654" s="137" t="e" cm="1">
        <f t="array" ref="R2654">_xlfn._xlws.FILTER(#REF!, E2654:P2654=MIN(E2654:P2654))</f>
        <v>#REF!</v>
      </c>
    </row>
    <row r="2655" spans="18:18">
      <c r="R2655" s="137" t="e" cm="1">
        <f t="array" ref="R2655">_xlfn._xlws.FILTER(#REF!, E2655:P2655=MIN(E2655:P2655))</f>
        <v>#REF!</v>
      </c>
    </row>
    <row r="2656" spans="18:18">
      <c r="R2656" s="137" t="e" cm="1">
        <f t="array" ref="R2656">_xlfn._xlws.FILTER(#REF!, E2656:P2656=MIN(E2656:P2656))</f>
        <v>#REF!</v>
      </c>
    </row>
    <row r="2657" spans="18:18">
      <c r="R2657" s="137" t="e" cm="1">
        <f t="array" ref="R2657">_xlfn._xlws.FILTER(#REF!, E2657:P2657=MIN(E2657:P2657))</f>
        <v>#REF!</v>
      </c>
    </row>
    <row r="2658" spans="18:18">
      <c r="R2658" s="137" t="e" cm="1">
        <f t="array" ref="R2658">_xlfn._xlws.FILTER(#REF!, E2658:P2658=MIN(E2658:P2658))</f>
        <v>#REF!</v>
      </c>
    </row>
    <row r="2659" spans="18:18">
      <c r="R2659" s="137" t="e" cm="1">
        <f t="array" ref="R2659">_xlfn._xlws.FILTER(#REF!, E2659:P2659=MIN(E2659:P2659))</f>
        <v>#REF!</v>
      </c>
    </row>
    <row r="2660" spans="18:18">
      <c r="R2660" s="137" t="e" cm="1">
        <f t="array" ref="R2660">_xlfn._xlws.FILTER(#REF!, E2660:P2660=MIN(E2660:P2660))</f>
        <v>#REF!</v>
      </c>
    </row>
    <row r="2661" spans="18:18">
      <c r="R2661" s="137" t="e" cm="1">
        <f t="array" ref="R2661">_xlfn._xlws.FILTER(#REF!, E2661:P2661=MIN(E2661:P2661))</f>
        <v>#REF!</v>
      </c>
    </row>
    <row r="2662" spans="18:18">
      <c r="R2662" s="137" t="e" cm="1">
        <f t="array" ref="R2662">_xlfn._xlws.FILTER(#REF!, E2662:P2662=MIN(E2662:P2662))</f>
        <v>#REF!</v>
      </c>
    </row>
    <row r="2663" spans="18:18">
      <c r="R2663" s="137" t="e" cm="1">
        <f t="array" ref="R2663">_xlfn._xlws.FILTER(#REF!, E2663:P2663=MIN(E2663:P2663))</f>
        <v>#REF!</v>
      </c>
    </row>
    <row r="2664" spans="18:18">
      <c r="R2664" s="137" t="e" cm="1">
        <f t="array" ref="R2664">_xlfn._xlws.FILTER(#REF!, E2664:P2664=MIN(E2664:P2664))</f>
        <v>#REF!</v>
      </c>
    </row>
    <row r="2665" spans="18:18">
      <c r="R2665" s="137" t="e" cm="1">
        <f t="array" ref="R2665">_xlfn._xlws.FILTER(#REF!, E2665:P2665=MIN(E2665:P2665))</f>
        <v>#REF!</v>
      </c>
    </row>
    <row r="2666" spans="18:18">
      <c r="R2666" s="137" t="e" cm="1">
        <f t="array" ref="R2666">_xlfn._xlws.FILTER(#REF!, E2666:P2666=MIN(E2666:P2666))</f>
        <v>#REF!</v>
      </c>
    </row>
    <row r="2667" spans="18:18">
      <c r="R2667" s="137" t="e" cm="1">
        <f t="array" ref="R2667">_xlfn._xlws.FILTER(#REF!, E2667:P2667=MIN(E2667:P2667))</f>
        <v>#REF!</v>
      </c>
    </row>
    <row r="2668" spans="18:18">
      <c r="R2668" s="137" t="e" cm="1">
        <f t="array" ref="R2668">_xlfn._xlws.FILTER(#REF!, E2668:P2668=MIN(E2668:P2668))</f>
        <v>#REF!</v>
      </c>
    </row>
    <row r="2669" spans="18:18">
      <c r="R2669" s="137" t="e" cm="1">
        <f t="array" ref="R2669">_xlfn._xlws.FILTER(#REF!, E2669:P2669=MIN(E2669:P2669))</f>
        <v>#REF!</v>
      </c>
    </row>
    <row r="2670" spans="18:18">
      <c r="R2670" s="137" t="e" cm="1">
        <f t="array" ref="R2670">_xlfn._xlws.FILTER(#REF!, E2670:P2670=MIN(E2670:P2670))</f>
        <v>#REF!</v>
      </c>
    </row>
    <row r="2671" spans="18:18">
      <c r="R2671" s="137" t="e" cm="1">
        <f t="array" ref="R2671">_xlfn._xlws.FILTER(#REF!, E2671:P2671=MIN(E2671:P2671))</f>
        <v>#REF!</v>
      </c>
    </row>
    <row r="2672" spans="18:18">
      <c r="R2672" s="137" t="e" cm="1">
        <f t="array" ref="R2672">_xlfn._xlws.FILTER(#REF!, E2672:P2672=MIN(E2672:P2672))</f>
        <v>#REF!</v>
      </c>
    </row>
    <row r="2673" spans="18:18">
      <c r="R2673" s="137" t="e" cm="1">
        <f t="array" ref="R2673">_xlfn._xlws.FILTER(#REF!, E2673:P2673=MIN(E2673:P2673))</f>
        <v>#REF!</v>
      </c>
    </row>
    <row r="2674" spans="18:18">
      <c r="R2674" s="137" t="e" cm="1">
        <f t="array" ref="R2674">_xlfn._xlws.FILTER(#REF!, E2674:P2674=MIN(E2674:P2674))</f>
        <v>#REF!</v>
      </c>
    </row>
    <row r="2675" spans="18:18">
      <c r="R2675" s="137" t="e" cm="1">
        <f t="array" ref="R2675">_xlfn._xlws.FILTER(#REF!, E2675:P2675=MIN(E2675:P2675))</f>
        <v>#REF!</v>
      </c>
    </row>
    <row r="2676" spans="18:18">
      <c r="R2676" s="137" t="e" cm="1">
        <f t="array" ref="R2676">_xlfn._xlws.FILTER(#REF!, E2676:P2676=MIN(E2676:P2676))</f>
        <v>#REF!</v>
      </c>
    </row>
    <row r="2677" spans="18:18">
      <c r="R2677" s="137" t="e" cm="1">
        <f t="array" ref="R2677">_xlfn._xlws.FILTER(#REF!, E2677:P2677=MIN(E2677:P2677))</f>
        <v>#REF!</v>
      </c>
    </row>
    <row r="2678" spans="18:18">
      <c r="R2678" s="137" t="e" cm="1">
        <f t="array" ref="R2678">_xlfn._xlws.FILTER(#REF!, E2678:P2678=MIN(E2678:P2678))</f>
        <v>#REF!</v>
      </c>
    </row>
    <row r="2679" spans="18:18">
      <c r="R2679" s="137" t="e" cm="1">
        <f t="array" ref="R2679">_xlfn._xlws.FILTER(#REF!, E2679:P2679=MIN(E2679:P2679))</f>
        <v>#REF!</v>
      </c>
    </row>
    <row r="2680" spans="18:18">
      <c r="R2680" s="137" t="e" cm="1">
        <f t="array" ref="R2680">_xlfn._xlws.FILTER(#REF!, E2680:P2680=MIN(E2680:P2680))</f>
        <v>#REF!</v>
      </c>
    </row>
    <row r="2681" spans="18:18">
      <c r="R2681" s="137" t="e" cm="1">
        <f t="array" ref="R2681">_xlfn._xlws.FILTER(#REF!, E2681:P2681=MIN(E2681:P2681))</f>
        <v>#REF!</v>
      </c>
    </row>
    <row r="2682" spans="18:18">
      <c r="R2682" s="137" t="e" cm="1">
        <f t="array" ref="R2682">_xlfn._xlws.FILTER(#REF!, E2682:P2682=MIN(E2682:P2682))</f>
        <v>#REF!</v>
      </c>
    </row>
    <row r="2683" spans="18:18">
      <c r="R2683" s="137" t="e" cm="1">
        <f t="array" ref="R2683">_xlfn._xlws.FILTER(#REF!, E2683:P2683=MIN(E2683:P2683))</f>
        <v>#REF!</v>
      </c>
    </row>
    <row r="2684" spans="18:18">
      <c r="R2684" s="137" t="e" cm="1">
        <f t="array" ref="R2684">_xlfn._xlws.FILTER(#REF!, E2684:P2684=MIN(E2684:P2684))</f>
        <v>#REF!</v>
      </c>
    </row>
    <row r="2685" spans="18:18">
      <c r="R2685" s="137" t="e" cm="1">
        <f t="array" ref="R2685">_xlfn._xlws.FILTER(#REF!, E2685:P2685=MIN(E2685:P2685))</f>
        <v>#REF!</v>
      </c>
    </row>
    <row r="2686" spans="18:18">
      <c r="R2686" s="137" t="e" cm="1">
        <f t="array" ref="R2686">_xlfn._xlws.FILTER(#REF!, E2686:P2686=MIN(E2686:P2686))</f>
        <v>#REF!</v>
      </c>
    </row>
    <row r="2687" spans="18:18">
      <c r="R2687" s="137" t="e" cm="1">
        <f t="array" ref="R2687">_xlfn._xlws.FILTER(#REF!, E2687:P2687=MIN(E2687:P2687))</f>
        <v>#REF!</v>
      </c>
    </row>
    <row r="2688" spans="18:18">
      <c r="R2688" s="137" t="e" cm="1">
        <f t="array" ref="R2688">_xlfn._xlws.FILTER(#REF!, E2688:P2688=MIN(E2688:P2688))</f>
        <v>#REF!</v>
      </c>
    </row>
    <row r="2689" spans="18:18">
      <c r="R2689" s="137" t="e" cm="1">
        <f t="array" ref="R2689">_xlfn._xlws.FILTER(#REF!, E2689:P2689=MIN(E2689:P2689))</f>
        <v>#REF!</v>
      </c>
    </row>
    <row r="2690" spans="18:18">
      <c r="R2690" s="137" t="e" cm="1">
        <f t="array" ref="R2690">_xlfn._xlws.FILTER(#REF!, E2690:P2690=MIN(E2690:P2690))</f>
        <v>#REF!</v>
      </c>
    </row>
    <row r="2691" spans="18:18">
      <c r="R2691" s="137" t="e" cm="1">
        <f t="array" ref="R2691">_xlfn._xlws.FILTER(#REF!, E2691:P2691=MIN(E2691:P2691))</f>
        <v>#REF!</v>
      </c>
    </row>
    <row r="2692" spans="18:18">
      <c r="R2692" s="137" t="e" cm="1">
        <f t="array" ref="R2692">_xlfn._xlws.FILTER(#REF!, E2692:P2692=MIN(E2692:P2692))</f>
        <v>#REF!</v>
      </c>
    </row>
    <row r="2693" spans="18:18">
      <c r="R2693" s="137" t="e" cm="1">
        <f t="array" ref="R2693">_xlfn._xlws.FILTER(#REF!, E2693:P2693=MIN(E2693:P2693))</f>
        <v>#REF!</v>
      </c>
    </row>
    <row r="2694" spans="18:18">
      <c r="R2694" s="137" t="e" cm="1">
        <f t="array" ref="R2694">_xlfn._xlws.FILTER(#REF!, E2694:P2694=MIN(E2694:P2694))</f>
        <v>#REF!</v>
      </c>
    </row>
    <row r="2695" spans="18:18">
      <c r="R2695" s="137" t="e" cm="1">
        <f t="array" ref="R2695">_xlfn._xlws.FILTER(#REF!, E2695:P2695=MIN(E2695:P2695))</f>
        <v>#REF!</v>
      </c>
    </row>
    <row r="2696" spans="18:18">
      <c r="R2696" s="137" t="e" cm="1">
        <f t="array" ref="R2696">_xlfn._xlws.FILTER(#REF!, E2696:P2696=MIN(E2696:P2696))</f>
        <v>#REF!</v>
      </c>
    </row>
    <row r="2697" spans="18:18">
      <c r="R2697" s="137" t="e" cm="1">
        <f t="array" ref="R2697">_xlfn._xlws.FILTER(#REF!, E2697:P2697=MIN(E2697:P2697))</f>
        <v>#REF!</v>
      </c>
    </row>
    <row r="2698" spans="18:18">
      <c r="R2698" s="137" t="e" cm="1">
        <f t="array" ref="R2698">_xlfn._xlws.FILTER(#REF!, E2698:P2698=MIN(E2698:P2698))</f>
        <v>#REF!</v>
      </c>
    </row>
    <row r="2699" spans="18:18">
      <c r="R2699" s="137" t="e" cm="1">
        <f t="array" ref="R2699">_xlfn._xlws.FILTER(#REF!, E2699:P2699=MIN(E2699:P2699))</f>
        <v>#REF!</v>
      </c>
    </row>
    <row r="2700" spans="18:18">
      <c r="R2700" s="137" t="e" cm="1">
        <f t="array" ref="R2700">_xlfn._xlws.FILTER(#REF!, E2700:P2700=MIN(E2700:P2700))</f>
        <v>#REF!</v>
      </c>
    </row>
    <row r="2701" spans="18:18">
      <c r="R2701" s="137" t="e" cm="1">
        <f t="array" ref="R2701">_xlfn._xlws.FILTER(#REF!, E2701:P2701=MIN(E2701:P2701))</f>
        <v>#REF!</v>
      </c>
    </row>
    <row r="2702" spans="18:18">
      <c r="R2702" s="137" t="e" cm="1">
        <f t="array" ref="R2702">_xlfn._xlws.FILTER(#REF!, E2702:P2702=MIN(E2702:P2702))</f>
        <v>#REF!</v>
      </c>
    </row>
    <row r="2703" spans="18:18">
      <c r="R2703" s="137" t="e" cm="1">
        <f t="array" ref="R2703">_xlfn._xlws.FILTER(#REF!, E2703:P2703=MIN(E2703:P2703))</f>
        <v>#REF!</v>
      </c>
    </row>
    <row r="2704" spans="18:18">
      <c r="R2704" s="137" t="e" cm="1">
        <f t="array" ref="R2704">_xlfn._xlws.FILTER(#REF!, E2704:P2704=MIN(E2704:P2704))</f>
        <v>#REF!</v>
      </c>
    </row>
    <row r="2705" spans="18:18">
      <c r="R2705" s="137" t="e" cm="1">
        <f t="array" ref="R2705">_xlfn._xlws.FILTER(#REF!, E2705:P2705=MIN(E2705:P2705))</f>
        <v>#REF!</v>
      </c>
    </row>
    <row r="2706" spans="18:18">
      <c r="R2706" s="137" t="e" cm="1">
        <f t="array" ref="R2706">_xlfn._xlws.FILTER(#REF!, E2706:P2706=MIN(E2706:P2706))</f>
        <v>#REF!</v>
      </c>
    </row>
    <row r="2707" spans="18:18">
      <c r="R2707" s="137" t="e" cm="1">
        <f t="array" ref="R2707">_xlfn._xlws.FILTER(#REF!, E2707:P2707=MIN(E2707:P2707))</f>
        <v>#REF!</v>
      </c>
    </row>
    <row r="2708" spans="18:18">
      <c r="R2708" s="137" t="e" cm="1">
        <f t="array" ref="R2708">_xlfn._xlws.FILTER(#REF!, E2708:P2708=MIN(E2708:P2708))</f>
        <v>#REF!</v>
      </c>
    </row>
    <row r="2709" spans="18:18">
      <c r="R2709" s="137" t="e" cm="1">
        <f t="array" ref="R2709">_xlfn._xlws.FILTER(#REF!, E2709:P2709=MIN(E2709:P2709))</f>
        <v>#REF!</v>
      </c>
    </row>
    <row r="2710" spans="18:18">
      <c r="R2710" s="137" t="e" cm="1">
        <f t="array" ref="R2710">_xlfn._xlws.FILTER(#REF!, E2710:P2710=MIN(E2710:P2710))</f>
        <v>#REF!</v>
      </c>
    </row>
    <row r="2711" spans="18:18">
      <c r="R2711" s="137" t="e" cm="1">
        <f t="array" ref="R2711">_xlfn._xlws.FILTER(#REF!, E2711:P2711=MIN(E2711:P2711))</f>
        <v>#REF!</v>
      </c>
    </row>
    <row r="2712" spans="18:18">
      <c r="R2712" s="137" t="e" cm="1">
        <f t="array" ref="R2712">_xlfn._xlws.FILTER(#REF!, E2712:P2712=MIN(E2712:P2712))</f>
        <v>#REF!</v>
      </c>
    </row>
    <row r="2713" spans="18:18">
      <c r="R2713" s="137" t="e" cm="1">
        <f t="array" ref="R2713">_xlfn._xlws.FILTER(#REF!, E2713:P2713=MIN(E2713:P2713))</f>
        <v>#REF!</v>
      </c>
    </row>
    <row r="2714" spans="18:18">
      <c r="R2714" s="137" t="e" cm="1">
        <f t="array" ref="R2714">_xlfn._xlws.FILTER(#REF!, E2714:P2714=MIN(E2714:P2714))</f>
        <v>#REF!</v>
      </c>
    </row>
    <row r="2715" spans="18:18">
      <c r="R2715" s="137" t="e" cm="1">
        <f t="array" ref="R2715">_xlfn._xlws.FILTER(#REF!, E2715:P2715=MIN(E2715:P2715))</f>
        <v>#REF!</v>
      </c>
    </row>
    <row r="2716" spans="18:18">
      <c r="R2716" s="137" t="e" cm="1">
        <f t="array" ref="R2716">_xlfn._xlws.FILTER(#REF!, E2716:P2716=MIN(E2716:P2716))</f>
        <v>#REF!</v>
      </c>
    </row>
    <row r="2717" spans="18:18">
      <c r="R2717" s="137" t="e" cm="1">
        <f t="array" ref="R2717">_xlfn._xlws.FILTER(#REF!, E2717:P2717=MIN(E2717:P2717))</f>
        <v>#REF!</v>
      </c>
    </row>
    <row r="2718" spans="18:18">
      <c r="R2718" s="137" t="e" cm="1">
        <f t="array" ref="R2718">_xlfn._xlws.FILTER(#REF!, E2718:P2718=MIN(E2718:P2718))</f>
        <v>#REF!</v>
      </c>
    </row>
    <row r="2719" spans="18:18">
      <c r="R2719" s="137" t="e" cm="1">
        <f t="array" ref="R2719">_xlfn._xlws.FILTER(#REF!, E2719:P2719=MIN(E2719:P2719))</f>
        <v>#REF!</v>
      </c>
    </row>
    <row r="2720" spans="18:18">
      <c r="R2720" s="137" t="e" cm="1">
        <f t="array" ref="R2720">_xlfn._xlws.FILTER(#REF!, E2720:P2720=MIN(E2720:P2720))</f>
        <v>#REF!</v>
      </c>
    </row>
    <row r="2721" spans="18:18">
      <c r="R2721" s="137" t="e" cm="1">
        <f t="array" ref="R2721">_xlfn._xlws.FILTER(#REF!, E2721:P2721=MIN(E2721:P2721))</f>
        <v>#REF!</v>
      </c>
    </row>
    <row r="2722" spans="18:18">
      <c r="R2722" s="137" t="e" cm="1">
        <f t="array" ref="R2722">_xlfn._xlws.FILTER(#REF!, E2722:P2722=MIN(E2722:P2722))</f>
        <v>#REF!</v>
      </c>
    </row>
    <row r="2723" spans="18:18">
      <c r="R2723" s="137" t="e" cm="1">
        <f t="array" ref="R2723">_xlfn._xlws.FILTER(#REF!, E2723:P2723=MIN(E2723:P2723))</f>
        <v>#REF!</v>
      </c>
    </row>
    <row r="2724" spans="18:18">
      <c r="R2724" s="137" t="e" cm="1">
        <f t="array" ref="R2724">_xlfn._xlws.FILTER(#REF!, E2724:P2724=MIN(E2724:P2724))</f>
        <v>#REF!</v>
      </c>
    </row>
    <row r="2725" spans="18:18">
      <c r="R2725" s="137" t="e" cm="1">
        <f t="array" ref="R2725">_xlfn._xlws.FILTER(#REF!, E2725:P2725=MIN(E2725:P2725))</f>
        <v>#REF!</v>
      </c>
    </row>
    <row r="2726" spans="18:18">
      <c r="R2726" s="137" t="e" cm="1">
        <f t="array" ref="R2726">_xlfn._xlws.FILTER(#REF!, E2726:P2726=MIN(E2726:P2726))</f>
        <v>#REF!</v>
      </c>
    </row>
    <row r="2727" spans="18:18">
      <c r="R2727" s="137" t="e" cm="1">
        <f t="array" ref="R2727">_xlfn._xlws.FILTER(#REF!, E2727:P2727=MIN(E2727:P2727))</f>
        <v>#REF!</v>
      </c>
    </row>
    <row r="2728" spans="18:18">
      <c r="R2728" s="137" t="e" cm="1">
        <f t="array" ref="R2728">_xlfn._xlws.FILTER(#REF!, E2728:P2728=MIN(E2728:P2728))</f>
        <v>#REF!</v>
      </c>
    </row>
    <row r="2729" spans="18:18">
      <c r="R2729" s="137" t="e" cm="1">
        <f t="array" ref="R2729">_xlfn._xlws.FILTER(#REF!, E2729:P2729=MIN(E2729:P2729))</f>
        <v>#REF!</v>
      </c>
    </row>
    <row r="2730" spans="18:18">
      <c r="R2730" s="137" t="e" cm="1">
        <f t="array" ref="R2730">_xlfn._xlws.FILTER(#REF!, E2730:P2730=MIN(E2730:P2730))</f>
        <v>#REF!</v>
      </c>
    </row>
    <row r="2731" spans="18:18">
      <c r="R2731" s="137" t="e" cm="1">
        <f t="array" ref="R2731">_xlfn._xlws.FILTER(#REF!, E2731:P2731=MIN(E2731:P2731))</f>
        <v>#REF!</v>
      </c>
    </row>
    <row r="2732" spans="18:18">
      <c r="R2732" s="137" t="e" cm="1">
        <f t="array" ref="R2732">_xlfn._xlws.FILTER(#REF!, E2732:P2732=MIN(E2732:P2732))</f>
        <v>#REF!</v>
      </c>
    </row>
    <row r="2733" spans="18:18">
      <c r="R2733" s="137" t="e" cm="1">
        <f t="array" ref="R2733">_xlfn._xlws.FILTER(#REF!, E2733:P2733=MIN(E2733:P2733))</f>
        <v>#REF!</v>
      </c>
    </row>
    <row r="2734" spans="18:18">
      <c r="R2734" s="137" t="e" cm="1">
        <f t="array" ref="R2734">_xlfn._xlws.FILTER(#REF!, E2734:P2734=MIN(E2734:P2734))</f>
        <v>#REF!</v>
      </c>
    </row>
    <row r="2735" spans="18:18">
      <c r="R2735" s="137" t="e" cm="1">
        <f t="array" ref="R2735">_xlfn._xlws.FILTER(#REF!, E2735:P2735=MIN(E2735:P2735))</f>
        <v>#REF!</v>
      </c>
    </row>
    <row r="2736" spans="18:18">
      <c r="R2736" s="137" t="e" cm="1">
        <f t="array" ref="R2736">_xlfn._xlws.FILTER(#REF!, E2736:P2736=MIN(E2736:P2736))</f>
        <v>#REF!</v>
      </c>
    </row>
    <row r="2737" spans="18:18">
      <c r="R2737" s="137" t="e" cm="1">
        <f t="array" ref="R2737">_xlfn._xlws.FILTER(#REF!, E2737:P2737=MIN(E2737:P2737))</f>
        <v>#REF!</v>
      </c>
    </row>
    <row r="2738" spans="18:18">
      <c r="R2738" s="137" t="e" cm="1">
        <f t="array" ref="R2738">_xlfn._xlws.FILTER(#REF!, E2738:P2738=MIN(E2738:P2738))</f>
        <v>#REF!</v>
      </c>
    </row>
    <row r="2739" spans="18:18">
      <c r="R2739" s="137" t="e" cm="1">
        <f t="array" ref="R2739">_xlfn._xlws.FILTER(#REF!, E2739:P2739=MIN(E2739:P2739))</f>
        <v>#REF!</v>
      </c>
    </row>
    <row r="2740" spans="18:18">
      <c r="R2740" s="137" t="e" cm="1">
        <f t="array" ref="R2740">_xlfn._xlws.FILTER(#REF!, E2740:P2740=MIN(E2740:P2740))</f>
        <v>#REF!</v>
      </c>
    </row>
    <row r="2741" spans="18:18">
      <c r="R2741" s="137" t="e" cm="1">
        <f t="array" ref="R2741">_xlfn._xlws.FILTER(#REF!, E2741:P2741=MIN(E2741:P2741))</f>
        <v>#REF!</v>
      </c>
    </row>
    <row r="2742" spans="18:18">
      <c r="R2742" s="137" t="e" cm="1">
        <f t="array" ref="R2742">_xlfn._xlws.FILTER(#REF!, E2742:P2742=MIN(E2742:P2742))</f>
        <v>#REF!</v>
      </c>
    </row>
    <row r="2743" spans="18:18">
      <c r="R2743" s="137" t="e" cm="1">
        <f t="array" ref="R2743">_xlfn._xlws.FILTER(#REF!, E2743:P2743=MIN(E2743:P2743))</f>
        <v>#REF!</v>
      </c>
    </row>
    <row r="2744" spans="18:18">
      <c r="R2744" s="137" t="e" cm="1">
        <f t="array" ref="R2744">_xlfn._xlws.FILTER(#REF!, E2744:P2744=MIN(E2744:P2744))</f>
        <v>#REF!</v>
      </c>
    </row>
    <row r="2745" spans="18:18">
      <c r="R2745" s="137" t="e" cm="1">
        <f t="array" ref="R2745">_xlfn._xlws.FILTER(#REF!, E2745:P2745=MIN(E2745:P2745))</f>
        <v>#REF!</v>
      </c>
    </row>
    <row r="2746" spans="18:18">
      <c r="R2746" s="137" t="e" cm="1">
        <f t="array" ref="R2746">_xlfn._xlws.FILTER(#REF!, E2746:P2746=MIN(E2746:P2746))</f>
        <v>#REF!</v>
      </c>
    </row>
    <row r="2747" spans="18:18">
      <c r="R2747" s="137" t="e" cm="1">
        <f t="array" ref="R2747">_xlfn._xlws.FILTER(#REF!, E2747:P2747=MIN(E2747:P2747))</f>
        <v>#REF!</v>
      </c>
    </row>
    <row r="2748" spans="18:18">
      <c r="R2748" s="137" t="e" cm="1">
        <f t="array" ref="R2748">_xlfn._xlws.FILTER(#REF!, E2748:P2748=MIN(E2748:P2748))</f>
        <v>#REF!</v>
      </c>
    </row>
    <row r="2749" spans="18:18">
      <c r="R2749" s="137" t="e" cm="1">
        <f t="array" ref="R2749">_xlfn._xlws.FILTER(#REF!, E2749:P2749=MIN(E2749:P2749))</f>
        <v>#REF!</v>
      </c>
    </row>
    <row r="2750" spans="18:18">
      <c r="R2750" s="137" t="e" cm="1">
        <f t="array" ref="R2750">_xlfn._xlws.FILTER(#REF!, E2750:P2750=MIN(E2750:P2750))</f>
        <v>#REF!</v>
      </c>
    </row>
    <row r="2751" spans="18:18">
      <c r="R2751" s="137" t="e" cm="1">
        <f t="array" ref="R2751">_xlfn._xlws.FILTER(#REF!, E2751:P2751=MIN(E2751:P2751))</f>
        <v>#REF!</v>
      </c>
    </row>
    <row r="2752" spans="18:18">
      <c r="R2752" s="137" t="e" cm="1">
        <f t="array" ref="R2752">_xlfn._xlws.FILTER(#REF!, E2752:P2752=MIN(E2752:P2752))</f>
        <v>#REF!</v>
      </c>
    </row>
    <row r="2753" spans="18:18">
      <c r="R2753" s="137" t="e" cm="1">
        <f t="array" ref="R2753">_xlfn._xlws.FILTER(#REF!, E2753:P2753=MIN(E2753:P2753))</f>
        <v>#REF!</v>
      </c>
    </row>
    <row r="2754" spans="18:18">
      <c r="R2754" s="137" t="e" cm="1">
        <f t="array" ref="R2754">_xlfn._xlws.FILTER(#REF!, E2754:P2754=MIN(E2754:P2754))</f>
        <v>#REF!</v>
      </c>
    </row>
    <row r="2755" spans="18:18">
      <c r="R2755" s="137" t="e" cm="1">
        <f t="array" ref="R2755">_xlfn._xlws.FILTER(#REF!, E2755:P2755=MIN(E2755:P2755))</f>
        <v>#REF!</v>
      </c>
    </row>
    <row r="2756" spans="18:18">
      <c r="R2756" s="137" t="e" cm="1">
        <f t="array" ref="R2756">_xlfn._xlws.FILTER(#REF!, E2756:P2756=MIN(E2756:P2756))</f>
        <v>#REF!</v>
      </c>
    </row>
    <row r="2757" spans="18:18">
      <c r="R2757" s="137" t="e" cm="1">
        <f t="array" ref="R2757">_xlfn._xlws.FILTER(#REF!, E2757:P2757=MIN(E2757:P2757))</f>
        <v>#REF!</v>
      </c>
    </row>
    <row r="2758" spans="18:18">
      <c r="R2758" s="137" t="e" cm="1">
        <f t="array" ref="R2758">_xlfn._xlws.FILTER(#REF!, E2758:P2758=MIN(E2758:P2758))</f>
        <v>#REF!</v>
      </c>
    </row>
    <row r="2759" spans="18:18">
      <c r="R2759" s="137" t="e" cm="1">
        <f t="array" ref="R2759">_xlfn._xlws.FILTER(#REF!, E2759:P2759=MIN(E2759:P2759))</f>
        <v>#REF!</v>
      </c>
    </row>
    <row r="2760" spans="18:18">
      <c r="R2760" s="137" t="e" cm="1">
        <f t="array" ref="R2760">_xlfn._xlws.FILTER(#REF!, E2760:P2760=MIN(E2760:P2760))</f>
        <v>#REF!</v>
      </c>
    </row>
    <row r="2761" spans="18:18">
      <c r="R2761" s="137" t="e" cm="1">
        <f t="array" ref="R2761">_xlfn._xlws.FILTER(#REF!, E2761:P2761=MIN(E2761:P2761))</f>
        <v>#REF!</v>
      </c>
    </row>
    <row r="2762" spans="18:18">
      <c r="R2762" s="137" t="e" cm="1">
        <f t="array" ref="R2762">_xlfn._xlws.FILTER(#REF!, E2762:P2762=MIN(E2762:P2762))</f>
        <v>#REF!</v>
      </c>
    </row>
    <row r="2763" spans="18:18">
      <c r="R2763" s="137" t="e" cm="1">
        <f t="array" ref="R2763">_xlfn._xlws.FILTER(#REF!, E2763:P2763=MIN(E2763:P2763))</f>
        <v>#REF!</v>
      </c>
    </row>
    <row r="2764" spans="18:18">
      <c r="R2764" s="137" t="e" cm="1">
        <f t="array" ref="R2764">_xlfn._xlws.FILTER(#REF!, E2764:P2764=MIN(E2764:P2764))</f>
        <v>#REF!</v>
      </c>
    </row>
    <row r="2765" spans="18:18">
      <c r="R2765" s="137" t="e" cm="1">
        <f t="array" ref="R2765">_xlfn._xlws.FILTER(#REF!, E2765:P2765=MIN(E2765:P2765))</f>
        <v>#REF!</v>
      </c>
    </row>
    <row r="2766" spans="18:18">
      <c r="R2766" s="137" t="e" cm="1">
        <f t="array" ref="R2766">_xlfn._xlws.FILTER(#REF!, E2766:P2766=MIN(E2766:P2766))</f>
        <v>#REF!</v>
      </c>
    </row>
    <row r="2767" spans="18:18">
      <c r="R2767" s="137" t="e" cm="1">
        <f t="array" ref="R2767">_xlfn._xlws.FILTER(#REF!, E2767:P2767=MIN(E2767:P2767))</f>
        <v>#REF!</v>
      </c>
    </row>
    <row r="2768" spans="18:18">
      <c r="R2768" s="137" t="e" cm="1">
        <f t="array" ref="R2768">_xlfn._xlws.FILTER(#REF!, E2768:P2768=MIN(E2768:P2768))</f>
        <v>#REF!</v>
      </c>
    </row>
    <row r="2769" spans="18:18">
      <c r="R2769" s="137" t="e" cm="1">
        <f t="array" ref="R2769">_xlfn._xlws.FILTER(#REF!, E2769:P2769=MIN(E2769:P2769))</f>
        <v>#REF!</v>
      </c>
    </row>
    <row r="2770" spans="18:18">
      <c r="R2770" s="137" t="e" cm="1">
        <f t="array" ref="R2770">_xlfn._xlws.FILTER(#REF!, E2770:P2770=MIN(E2770:P2770))</f>
        <v>#REF!</v>
      </c>
    </row>
    <row r="2771" spans="18:18">
      <c r="R2771" s="137" t="e" cm="1">
        <f t="array" ref="R2771">_xlfn._xlws.FILTER(#REF!, E2771:P2771=MIN(E2771:P2771))</f>
        <v>#REF!</v>
      </c>
    </row>
    <row r="2772" spans="18:18">
      <c r="R2772" s="137" t="e" cm="1">
        <f t="array" ref="R2772">_xlfn._xlws.FILTER(#REF!, E2772:P2772=MIN(E2772:P2772))</f>
        <v>#REF!</v>
      </c>
    </row>
    <row r="2773" spans="18:18">
      <c r="R2773" s="137" t="e" cm="1">
        <f t="array" ref="R2773">_xlfn._xlws.FILTER(#REF!, E2773:P2773=MIN(E2773:P2773))</f>
        <v>#REF!</v>
      </c>
    </row>
    <row r="2774" spans="18:18">
      <c r="R2774" s="137" t="e" cm="1">
        <f t="array" ref="R2774">_xlfn._xlws.FILTER(#REF!, E2774:P2774=MIN(E2774:P2774))</f>
        <v>#REF!</v>
      </c>
    </row>
    <row r="2775" spans="18:18">
      <c r="R2775" s="137" t="e" cm="1">
        <f t="array" ref="R2775">_xlfn._xlws.FILTER(#REF!, E2775:P2775=MIN(E2775:P2775))</f>
        <v>#REF!</v>
      </c>
    </row>
    <row r="2776" spans="18:18">
      <c r="R2776" s="137" t="e" cm="1">
        <f t="array" ref="R2776">_xlfn._xlws.FILTER(#REF!, E2776:P2776=MIN(E2776:P2776))</f>
        <v>#REF!</v>
      </c>
    </row>
    <row r="2777" spans="18:18">
      <c r="R2777" s="137" t="e" cm="1">
        <f t="array" ref="R2777">_xlfn._xlws.FILTER(#REF!, E2777:P2777=MIN(E2777:P2777))</f>
        <v>#REF!</v>
      </c>
    </row>
    <row r="2778" spans="18:18">
      <c r="R2778" s="137" t="e" cm="1">
        <f t="array" ref="R2778">_xlfn._xlws.FILTER(#REF!, E2778:P2778=MIN(E2778:P2778))</f>
        <v>#REF!</v>
      </c>
    </row>
    <row r="2779" spans="18:18">
      <c r="R2779" s="137" t="e" cm="1">
        <f t="array" ref="R2779">_xlfn._xlws.FILTER(#REF!, E2779:P2779=MIN(E2779:P2779))</f>
        <v>#REF!</v>
      </c>
    </row>
    <row r="2780" spans="18:18">
      <c r="R2780" s="137" t="e" cm="1">
        <f t="array" ref="R2780">_xlfn._xlws.FILTER(#REF!, E2780:P2780=MIN(E2780:P2780))</f>
        <v>#REF!</v>
      </c>
    </row>
    <row r="2781" spans="18:18">
      <c r="R2781" s="137" t="e" cm="1">
        <f t="array" ref="R2781">_xlfn._xlws.FILTER(#REF!, E2781:P2781=MIN(E2781:P2781))</f>
        <v>#REF!</v>
      </c>
    </row>
    <row r="2782" spans="18:18">
      <c r="R2782" s="137" t="e" cm="1">
        <f t="array" ref="R2782">_xlfn._xlws.FILTER(#REF!, E2782:P2782=MIN(E2782:P2782))</f>
        <v>#REF!</v>
      </c>
    </row>
    <row r="2783" spans="18:18">
      <c r="R2783" s="137" t="e" cm="1">
        <f t="array" ref="R2783">_xlfn._xlws.FILTER(#REF!, E2783:P2783=MIN(E2783:P2783))</f>
        <v>#REF!</v>
      </c>
    </row>
    <row r="2784" spans="18:18">
      <c r="R2784" s="137" t="e" cm="1">
        <f t="array" ref="R2784">_xlfn._xlws.FILTER(#REF!, E2784:P2784=MIN(E2784:P2784))</f>
        <v>#REF!</v>
      </c>
    </row>
    <row r="2785" spans="18:18">
      <c r="R2785" s="137" t="e" cm="1">
        <f t="array" ref="R2785">_xlfn._xlws.FILTER(#REF!, E2785:P2785=MIN(E2785:P2785))</f>
        <v>#REF!</v>
      </c>
    </row>
    <row r="2786" spans="18:18">
      <c r="R2786" s="137" t="e" cm="1">
        <f t="array" ref="R2786">_xlfn._xlws.FILTER(#REF!, E2786:P2786=MIN(E2786:P2786))</f>
        <v>#REF!</v>
      </c>
    </row>
    <row r="2787" spans="18:18">
      <c r="R2787" s="137" t="e" cm="1">
        <f t="array" ref="R2787">_xlfn._xlws.FILTER(#REF!, E2787:P2787=MIN(E2787:P2787))</f>
        <v>#REF!</v>
      </c>
    </row>
    <row r="2788" spans="18:18">
      <c r="R2788" s="137" t="e" cm="1">
        <f t="array" ref="R2788">_xlfn._xlws.FILTER(#REF!, E2788:P2788=MIN(E2788:P2788))</f>
        <v>#REF!</v>
      </c>
    </row>
    <row r="2789" spans="18:18">
      <c r="R2789" s="137" t="e" cm="1">
        <f t="array" ref="R2789">_xlfn._xlws.FILTER(#REF!, E2789:P2789=MIN(E2789:P2789))</f>
        <v>#REF!</v>
      </c>
    </row>
    <row r="2790" spans="18:18">
      <c r="R2790" s="137" t="e" cm="1">
        <f t="array" ref="R2790">_xlfn._xlws.FILTER(#REF!, E2790:P2790=MIN(E2790:P2790))</f>
        <v>#REF!</v>
      </c>
    </row>
    <row r="2791" spans="18:18">
      <c r="R2791" s="137" t="e" cm="1">
        <f t="array" ref="R2791">_xlfn._xlws.FILTER(#REF!, E2791:P2791=MIN(E2791:P2791))</f>
        <v>#REF!</v>
      </c>
    </row>
    <row r="2792" spans="18:18">
      <c r="R2792" s="137" t="e" cm="1">
        <f t="array" ref="R2792">_xlfn._xlws.FILTER(#REF!, E2792:P2792=MIN(E2792:P2792))</f>
        <v>#REF!</v>
      </c>
    </row>
    <row r="2793" spans="18:18">
      <c r="R2793" s="137" t="e" cm="1">
        <f t="array" ref="R2793">_xlfn._xlws.FILTER(#REF!, E2793:P2793=MIN(E2793:P2793))</f>
        <v>#REF!</v>
      </c>
    </row>
    <row r="2794" spans="18:18">
      <c r="R2794" s="137" t="e" cm="1">
        <f t="array" ref="R2794">_xlfn._xlws.FILTER(#REF!, E2794:P2794=MIN(E2794:P2794))</f>
        <v>#REF!</v>
      </c>
    </row>
    <row r="2795" spans="18:18">
      <c r="R2795" s="137" t="e" cm="1">
        <f t="array" ref="R2795">_xlfn._xlws.FILTER(#REF!, E2795:P2795=MIN(E2795:P2795))</f>
        <v>#REF!</v>
      </c>
    </row>
    <row r="2796" spans="18:18">
      <c r="R2796" s="137" t="e" cm="1">
        <f t="array" ref="R2796">_xlfn._xlws.FILTER(#REF!, E2796:P2796=MIN(E2796:P2796))</f>
        <v>#REF!</v>
      </c>
    </row>
    <row r="2797" spans="18:18">
      <c r="R2797" s="137" t="e" cm="1">
        <f t="array" ref="R2797">_xlfn._xlws.FILTER(#REF!, E2797:P2797=MIN(E2797:P2797))</f>
        <v>#REF!</v>
      </c>
    </row>
    <row r="2798" spans="18:18">
      <c r="R2798" s="137" t="e" cm="1">
        <f t="array" ref="R2798">_xlfn._xlws.FILTER(#REF!, E2798:P2798=MIN(E2798:P2798))</f>
        <v>#REF!</v>
      </c>
    </row>
    <row r="2799" spans="18:18">
      <c r="R2799" s="137" t="e" cm="1">
        <f t="array" ref="R2799">_xlfn._xlws.FILTER(#REF!, E2799:P2799=MIN(E2799:P2799))</f>
        <v>#REF!</v>
      </c>
    </row>
    <row r="2800" spans="18:18">
      <c r="R2800" s="137" t="e" cm="1">
        <f t="array" ref="R2800">_xlfn._xlws.FILTER(#REF!, E2800:P2800=MIN(E2800:P2800))</f>
        <v>#REF!</v>
      </c>
    </row>
    <row r="2801" spans="18:18">
      <c r="R2801" s="137" t="e" cm="1">
        <f t="array" ref="R2801">_xlfn._xlws.FILTER(#REF!, E2801:P2801=MIN(E2801:P2801))</f>
        <v>#REF!</v>
      </c>
    </row>
    <row r="2802" spans="18:18">
      <c r="R2802" s="137" t="e" cm="1">
        <f t="array" ref="R2802">_xlfn._xlws.FILTER(#REF!, E2802:P2802=MIN(E2802:P2802))</f>
        <v>#REF!</v>
      </c>
    </row>
    <row r="2803" spans="18:18">
      <c r="R2803" s="137" t="e" cm="1">
        <f t="array" ref="R2803">_xlfn._xlws.FILTER(#REF!, E2803:P2803=MIN(E2803:P2803))</f>
        <v>#REF!</v>
      </c>
    </row>
    <row r="2804" spans="18:18">
      <c r="R2804" s="137" t="e" cm="1">
        <f t="array" ref="R2804">_xlfn._xlws.FILTER(#REF!, E2804:P2804=MIN(E2804:P2804))</f>
        <v>#REF!</v>
      </c>
    </row>
    <row r="2805" spans="18:18">
      <c r="R2805" s="137" t="e" cm="1">
        <f t="array" ref="R2805">_xlfn._xlws.FILTER(#REF!, E2805:P2805=MIN(E2805:P2805))</f>
        <v>#REF!</v>
      </c>
    </row>
    <row r="2806" spans="18:18">
      <c r="R2806" s="137" t="e" cm="1">
        <f t="array" ref="R2806">_xlfn._xlws.FILTER(#REF!, E2806:P2806=MIN(E2806:P2806))</f>
        <v>#REF!</v>
      </c>
    </row>
    <row r="2807" spans="18:18">
      <c r="R2807" s="137" t="e" cm="1">
        <f t="array" ref="R2807">_xlfn._xlws.FILTER(#REF!, E2807:P2807=MIN(E2807:P2807))</f>
        <v>#REF!</v>
      </c>
    </row>
    <row r="2808" spans="18:18">
      <c r="R2808" s="137" t="e" cm="1">
        <f t="array" ref="R2808">_xlfn._xlws.FILTER(#REF!, E2808:P2808=MIN(E2808:P2808))</f>
        <v>#REF!</v>
      </c>
    </row>
    <row r="2809" spans="18:18">
      <c r="R2809" s="137" t="e" cm="1">
        <f t="array" ref="R2809">_xlfn._xlws.FILTER(#REF!, E2809:P2809=MIN(E2809:P2809))</f>
        <v>#REF!</v>
      </c>
    </row>
    <row r="2810" spans="18:18">
      <c r="R2810" s="137" t="e" cm="1">
        <f t="array" ref="R2810">_xlfn._xlws.FILTER(#REF!, E2810:P2810=MIN(E2810:P2810))</f>
        <v>#REF!</v>
      </c>
    </row>
    <row r="2811" spans="18:18">
      <c r="R2811" s="137" t="e" cm="1">
        <f t="array" ref="R2811">_xlfn._xlws.FILTER(#REF!, E2811:P2811=MIN(E2811:P2811))</f>
        <v>#REF!</v>
      </c>
    </row>
    <row r="2812" spans="18:18">
      <c r="R2812" s="137" t="e" cm="1">
        <f t="array" ref="R2812">_xlfn._xlws.FILTER(#REF!, E2812:P2812=MIN(E2812:P2812))</f>
        <v>#REF!</v>
      </c>
    </row>
    <row r="2813" spans="18:18">
      <c r="R2813" s="137" t="e" cm="1">
        <f t="array" ref="R2813">_xlfn._xlws.FILTER(#REF!, E2813:P2813=MIN(E2813:P2813))</f>
        <v>#REF!</v>
      </c>
    </row>
    <row r="2814" spans="18:18">
      <c r="R2814" s="137" t="e" cm="1">
        <f t="array" ref="R2814">_xlfn._xlws.FILTER(#REF!, E2814:P2814=MIN(E2814:P2814))</f>
        <v>#REF!</v>
      </c>
    </row>
    <row r="2815" spans="18:18">
      <c r="R2815" s="137" t="e" cm="1">
        <f t="array" ref="R2815">_xlfn._xlws.FILTER(#REF!, E2815:P2815=MIN(E2815:P2815))</f>
        <v>#REF!</v>
      </c>
    </row>
    <row r="2816" spans="18:18">
      <c r="R2816" s="137" t="e" cm="1">
        <f t="array" ref="R2816">_xlfn._xlws.FILTER(#REF!, E2816:P2816=MIN(E2816:P2816))</f>
        <v>#REF!</v>
      </c>
    </row>
    <row r="2817" spans="18:18">
      <c r="R2817" s="137" t="e" cm="1">
        <f t="array" ref="R2817">_xlfn._xlws.FILTER(#REF!, E2817:P2817=MIN(E2817:P2817))</f>
        <v>#REF!</v>
      </c>
    </row>
    <row r="2818" spans="18:18">
      <c r="R2818" s="137" t="e" cm="1">
        <f t="array" ref="R2818">_xlfn._xlws.FILTER(#REF!, E2818:P2818=MIN(E2818:P2818))</f>
        <v>#REF!</v>
      </c>
    </row>
    <row r="2819" spans="18:18">
      <c r="R2819" s="137" t="e" cm="1">
        <f t="array" ref="R2819">_xlfn._xlws.FILTER(#REF!, E2819:P2819=MIN(E2819:P2819))</f>
        <v>#REF!</v>
      </c>
    </row>
    <row r="2820" spans="18:18">
      <c r="R2820" s="137" t="e" cm="1">
        <f t="array" ref="R2820">_xlfn._xlws.FILTER(#REF!, E2820:P2820=MIN(E2820:P2820))</f>
        <v>#REF!</v>
      </c>
    </row>
    <row r="2821" spans="18:18">
      <c r="R2821" s="137" t="e" cm="1">
        <f t="array" ref="R2821">_xlfn._xlws.FILTER(#REF!, E2821:P2821=MIN(E2821:P2821))</f>
        <v>#REF!</v>
      </c>
    </row>
    <row r="2822" spans="18:18">
      <c r="R2822" s="137" t="e" cm="1">
        <f t="array" ref="R2822">_xlfn._xlws.FILTER(#REF!, E2822:P2822=MIN(E2822:P2822))</f>
        <v>#REF!</v>
      </c>
    </row>
    <row r="2823" spans="18:18">
      <c r="R2823" s="137" t="e" cm="1">
        <f t="array" ref="R2823">_xlfn._xlws.FILTER(#REF!, E2823:P2823=MIN(E2823:P2823))</f>
        <v>#REF!</v>
      </c>
    </row>
    <row r="2824" spans="18:18">
      <c r="R2824" s="137" t="e" cm="1">
        <f t="array" ref="R2824">_xlfn._xlws.FILTER(#REF!, E2824:P2824=MIN(E2824:P2824))</f>
        <v>#REF!</v>
      </c>
    </row>
    <row r="2825" spans="18:18">
      <c r="R2825" s="137" t="e" cm="1">
        <f t="array" ref="R2825">_xlfn._xlws.FILTER(#REF!, E2825:P2825=MIN(E2825:P2825))</f>
        <v>#REF!</v>
      </c>
    </row>
    <row r="2826" spans="18:18">
      <c r="R2826" s="137" t="e" cm="1">
        <f t="array" ref="R2826">_xlfn._xlws.FILTER(#REF!, E2826:P2826=MIN(E2826:P2826))</f>
        <v>#REF!</v>
      </c>
    </row>
    <row r="2827" spans="18:18">
      <c r="R2827" s="137" t="e" cm="1">
        <f t="array" ref="R2827">_xlfn._xlws.FILTER(#REF!, E2827:P2827=MIN(E2827:P2827))</f>
        <v>#REF!</v>
      </c>
    </row>
    <row r="2828" spans="18:18">
      <c r="R2828" s="137" t="e" cm="1">
        <f t="array" ref="R2828">_xlfn._xlws.FILTER(#REF!, E2828:P2828=MIN(E2828:P2828))</f>
        <v>#REF!</v>
      </c>
    </row>
    <row r="2829" spans="18:18">
      <c r="R2829" s="137" t="e" cm="1">
        <f t="array" ref="R2829">_xlfn._xlws.FILTER(#REF!, E2829:P2829=MIN(E2829:P2829))</f>
        <v>#REF!</v>
      </c>
    </row>
    <row r="2830" spans="18:18">
      <c r="R2830" s="137" t="e" cm="1">
        <f t="array" ref="R2830">_xlfn._xlws.FILTER(#REF!, E2830:P2830=MIN(E2830:P2830))</f>
        <v>#REF!</v>
      </c>
    </row>
    <row r="2831" spans="18:18">
      <c r="R2831" s="137" t="e" cm="1">
        <f t="array" ref="R2831">_xlfn._xlws.FILTER(#REF!, E2831:P2831=MIN(E2831:P2831))</f>
        <v>#REF!</v>
      </c>
    </row>
    <row r="2832" spans="18:18">
      <c r="R2832" s="137" t="e" cm="1">
        <f t="array" ref="R2832">_xlfn._xlws.FILTER(#REF!, E2832:P2832=MIN(E2832:P2832))</f>
        <v>#REF!</v>
      </c>
    </row>
    <row r="2833" spans="18:18">
      <c r="R2833" s="137" t="e" cm="1">
        <f t="array" ref="R2833">_xlfn._xlws.FILTER(#REF!, E2833:P2833=MIN(E2833:P2833))</f>
        <v>#REF!</v>
      </c>
    </row>
    <row r="2834" spans="18:18">
      <c r="R2834" s="137" t="e" cm="1">
        <f t="array" ref="R2834">_xlfn._xlws.FILTER(#REF!, E2834:P2834=MIN(E2834:P2834))</f>
        <v>#REF!</v>
      </c>
    </row>
    <row r="2835" spans="18:18">
      <c r="R2835" s="137" t="e" cm="1">
        <f t="array" ref="R2835">_xlfn._xlws.FILTER(#REF!, E2835:P2835=MIN(E2835:P2835))</f>
        <v>#REF!</v>
      </c>
    </row>
    <row r="2836" spans="18:18">
      <c r="R2836" s="137" t="e" cm="1">
        <f t="array" ref="R2836">_xlfn._xlws.FILTER(#REF!, E2836:P2836=MIN(E2836:P2836))</f>
        <v>#REF!</v>
      </c>
    </row>
    <row r="2837" spans="18:18">
      <c r="R2837" s="137" t="e" cm="1">
        <f t="array" ref="R2837">_xlfn._xlws.FILTER(#REF!, E2837:P2837=MIN(E2837:P2837))</f>
        <v>#REF!</v>
      </c>
    </row>
    <row r="2838" spans="18:18">
      <c r="R2838" s="137" t="e" cm="1">
        <f t="array" ref="R2838">_xlfn._xlws.FILTER(#REF!, E2838:P2838=MIN(E2838:P2838))</f>
        <v>#REF!</v>
      </c>
    </row>
    <row r="2839" spans="18:18">
      <c r="R2839" s="137" t="e" cm="1">
        <f t="array" ref="R2839">_xlfn._xlws.FILTER(#REF!, E2839:P2839=MIN(E2839:P2839))</f>
        <v>#REF!</v>
      </c>
    </row>
    <row r="2840" spans="18:18">
      <c r="R2840" s="137" t="e" cm="1">
        <f t="array" ref="R2840">_xlfn._xlws.FILTER(#REF!, E2840:P2840=MIN(E2840:P2840))</f>
        <v>#REF!</v>
      </c>
    </row>
    <row r="2841" spans="18:18">
      <c r="R2841" s="137" t="e" cm="1">
        <f t="array" ref="R2841">_xlfn._xlws.FILTER(#REF!, E2841:P2841=MIN(E2841:P2841))</f>
        <v>#REF!</v>
      </c>
    </row>
    <row r="2842" spans="18:18">
      <c r="R2842" s="137" t="e" cm="1">
        <f t="array" ref="R2842">_xlfn._xlws.FILTER(#REF!, E2842:P2842=MIN(E2842:P2842))</f>
        <v>#REF!</v>
      </c>
    </row>
    <row r="2843" spans="18:18">
      <c r="R2843" s="137" t="e" cm="1">
        <f t="array" ref="R2843">_xlfn._xlws.FILTER(#REF!, E2843:P2843=MIN(E2843:P2843))</f>
        <v>#REF!</v>
      </c>
    </row>
    <row r="2844" spans="18:18">
      <c r="R2844" s="137" t="e" cm="1">
        <f t="array" ref="R2844">_xlfn._xlws.FILTER(#REF!, E2844:P2844=MIN(E2844:P2844))</f>
        <v>#REF!</v>
      </c>
    </row>
    <row r="2845" spans="18:18">
      <c r="R2845" s="137" t="e" cm="1">
        <f t="array" ref="R2845">_xlfn._xlws.FILTER(#REF!, E2845:P2845=MIN(E2845:P2845))</f>
        <v>#REF!</v>
      </c>
    </row>
    <row r="2846" spans="18:18">
      <c r="R2846" s="137" t="e" cm="1">
        <f t="array" ref="R2846">_xlfn._xlws.FILTER(#REF!, E2846:P2846=MIN(E2846:P2846))</f>
        <v>#REF!</v>
      </c>
    </row>
    <row r="2847" spans="18:18">
      <c r="R2847" s="137" t="e" cm="1">
        <f t="array" ref="R2847">_xlfn._xlws.FILTER(#REF!, E2847:P2847=MIN(E2847:P2847))</f>
        <v>#REF!</v>
      </c>
    </row>
    <row r="2848" spans="18:18">
      <c r="R2848" s="137" t="e" cm="1">
        <f t="array" ref="R2848">_xlfn._xlws.FILTER(#REF!, E2848:P2848=MIN(E2848:P2848))</f>
        <v>#REF!</v>
      </c>
    </row>
    <row r="2849" spans="18:18">
      <c r="R2849" s="137" t="e" cm="1">
        <f t="array" ref="R2849">_xlfn._xlws.FILTER(#REF!, E2849:P2849=MIN(E2849:P2849))</f>
        <v>#REF!</v>
      </c>
    </row>
    <row r="2850" spans="18:18">
      <c r="R2850" s="137" t="e" cm="1">
        <f t="array" ref="R2850">_xlfn._xlws.FILTER(#REF!, E2850:P2850=MIN(E2850:P2850))</f>
        <v>#REF!</v>
      </c>
    </row>
    <row r="2851" spans="18:18">
      <c r="R2851" s="137" t="e" cm="1">
        <f t="array" ref="R2851">_xlfn._xlws.FILTER(#REF!, E2851:P2851=MIN(E2851:P2851))</f>
        <v>#REF!</v>
      </c>
    </row>
    <row r="2852" spans="18:18">
      <c r="R2852" s="137" t="e" cm="1">
        <f t="array" ref="R2852">_xlfn._xlws.FILTER(#REF!, E2852:P2852=MIN(E2852:P2852))</f>
        <v>#REF!</v>
      </c>
    </row>
    <row r="2853" spans="18:18">
      <c r="R2853" s="137" t="e" cm="1">
        <f t="array" ref="R2853">_xlfn._xlws.FILTER(#REF!, E2853:P2853=MIN(E2853:P2853))</f>
        <v>#REF!</v>
      </c>
    </row>
    <row r="2854" spans="18:18">
      <c r="R2854" s="137" t="e" cm="1">
        <f t="array" ref="R2854">_xlfn._xlws.FILTER(#REF!, E2854:P2854=MIN(E2854:P2854))</f>
        <v>#REF!</v>
      </c>
    </row>
    <row r="2855" spans="18:18">
      <c r="R2855" s="137" t="e" cm="1">
        <f t="array" ref="R2855">_xlfn._xlws.FILTER(#REF!, E2855:P2855=MIN(E2855:P2855))</f>
        <v>#REF!</v>
      </c>
    </row>
    <row r="2856" spans="18:18">
      <c r="R2856" s="137" t="e" cm="1">
        <f t="array" ref="R2856">_xlfn._xlws.FILTER(#REF!, E2856:P2856=MIN(E2856:P2856))</f>
        <v>#REF!</v>
      </c>
    </row>
    <row r="2857" spans="18:18">
      <c r="R2857" s="137" t="e" cm="1">
        <f t="array" ref="R2857">_xlfn._xlws.FILTER(#REF!, E2857:P2857=MIN(E2857:P2857))</f>
        <v>#REF!</v>
      </c>
    </row>
    <row r="2858" spans="18:18">
      <c r="R2858" s="137" t="e" cm="1">
        <f t="array" ref="R2858">_xlfn._xlws.FILTER(#REF!, E2858:P2858=MIN(E2858:P2858))</f>
        <v>#REF!</v>
      </c>
    </row>
    <row r="2859" spans="18:18">
      <c r="R2859" s="137" t="e" cm="1">
        <f t="array" ref="R2859">_xlfn._xlws.FILTER(#REF!, E2859:P2859=MIN(E2859:P2859))</f>
        <v>#REF!</v>
      </c>
    </row>
    <row r="2860" spans="18:18">
      <c r="R2860" s="137" t="e" cm="1">
        <f t="array" ref="R2860">_xlfn._xlws.FILTER(#REF!, E2860:P2860=MIN(E2860:P2860))</f>
        <v>#REF!</v>
      </c>
    </row>
    <row r="2861" spans="18:18">
      <c r="R2861" s="137" t="e" cm="1">
        <f t="array" ref="R2861">_xlfn._xlws.FILTER(#REF!, E2861:P2861=MIN(E2861:P2861))</f>
        <v>#REF!</v>
      </c>
    </row>
    <row r="2862" spans="18:18">
      <c r="R2862" s="137" t="e" cm="1">
        <f t="array" ref="R2862">_xlfn._xlws.FILTER(#REF!, E2862:P2862=MIN(E2862:P2862))</f>
        <v>#REF!</v>
      </c>
    </row>
    <row r="2863" spans="18:18">
      <c r="R2863" s="137" t="e" cm="1">
        <f t="array" ref="R2863">_xlfn._xlws.FILTER(#REF!, E2863:P2863=MIN(E2863:P2863))</f>
        <v>#REF!</v>
      </c>
    </row>
    <row r="2864" spans="18:18">
      <c r="R2864" s="137" t="e" cm="1">
        <f t="array" ref="R2864">_xlfn._xlws.FILTER(#REF!, E2864:P2864=MIN(E2864:P2864))</f>
        <v>#REF!</v>
      </c>
    </row>
    <row r="2865" spans="18:18">
      <c r="R2865" s="137" t="e" cm="1">
        <f t="array" ref="R2865">_xlfn._xlws.FILTER(#REF!, E2865:P2865=MIN(E2865:P2865))</f>
        <v>#REF!</v>
      </c>
    </row>
    <row r="2866" spans="18:18">
      <c r="R2866" s="137" t="e" cm="1">
        <f t="array" ref="R2866">_xlfn._xlws.FILTER(#REF!, E2866:P2866=MIN(E2866:P2866))</f>
        <v>#REF!</v>
      </c>
    </row>
    <row r="2867" spans="18:18">
      <c r="R2867" s="137" t="e" cm="1">
        <f t="array" ref="R2867">_xlfn._xlws.FILTER(#REF!, E2867:P2867=MIN(E2867:P2867))</f>
        <v>#REF!</v>
      </c>
    </row>
    <row r="2868" spans="18:18">
      <c r="R2868" s="137" t="e" cm="1">
        <f t="array" ref="R2868">_xlfn._xlws.FILTER(#REF!, E2868:P2868=MIN(E2868:P2868))</f>
        <v>#REF!</v>
      </c>
    </row>
    <row r="2869" spans="18:18">
      <c r="R2869" s="137" t="e" cm="1">
        <f t="array" ref="R2869">_xlfn._xlws.FILTER(#REF!, E2869:P2869=MIN(E2869:P2869))</f>
        <v>#REF!</v>
      </c>
    </row>
    <row r="2870" spans="18:18">
      <c r="R2870" s="137" t="e" cm="1">
        <f t="array" ref="R2870">_xlfn._xlws.FILTER(#REF!, E2870:P2870=MIN(E2870:P2870))</f>
        <v>#REF!</v>
      </c>
    </row>
    <row r="2871" spans="18:18">
      <c r="R2871" s="137" t="e" cm="1">
        <f t="array" ref="R2871">_xlfn._xlws.FILTER(#REF!, E2871:P2871=MIN(E2871:P2871))</f>
        <v>#REF!</v>
      </c>
    </row>
    <row r="2872" spans="18:18">
      <c r="R2872" s="137" t="e" cm="1">
        <f t="array" ref="R2872">_xlfn._xlws.FILTER(#REF!, E2872:P2872=MIN(E2872:P2872))</f>
        <v>#REF!</v>
      </c>
    </row>
    <row r="2873" spans="18:18">
      <c r="R2873" s="137" t="e" cm="1">
        <f t="array" ref="R2873">_xlfn._xlws.FILTER(#REF!, E2873:P2873=MIN(E2873:P2873))</f>
        <v>#REF!</v>
      </c>
    </row>
    <row r="2874" spans="18:18">
      <c r="R2874" s="137" t="e" cm="1">
        <f t="array" ref="R2874">_xlfn._xlws.FILTER(#REF!, E2874:P2874=MIN(E2874:P2874))</f>
        <v>#REF!</v>
      </c>
    </row>
    <row r="2875" spans="18:18">
      <c r="R2875" s="137" t="e" cm="1">
        <f t="array" ref="R2875">_xlfn._xlws.FILTER(#REF!, E2875:P2875=MIN(E2875:P2875))</f>
        <v>#REF!</v>
      </c>
    </row>
    <row r="2876" spans="18:18">
      <c r="R2876" s="137" t="e" cm="1">
        <f t="array" ref="R2876">_xlfn._xlws.FILTER(#REF!, E2876:P2876=MIN(E2876:P2876))</f>
        <v>#REF!</v>
      </c>
    </row>
    <row r="2877" spans="18:18">
      <c r="R2877" s="137" t="e" cm="1">
        <f t="array" ref="R2877">_xlfn._xlws.FILTER(#REF!, E2877:P2877=MIN(E2877:P2877))</f>
        <v>#REF!</v>
      </c>
    </row>
    <row r="2878" spans="18:18">
      <c r="R2878" s="137" t="e" cm="1">
        <f t="array" ref="R2878">_xlfn._xlws.FILTER(#REF!, E2878:P2878=MIN(E2878:P2878))</f>
        <v>#REF!</v>
      </c>
    </row>
    <row r="2879" spans="18:18">
      <c r="R2879" s="137" t="e" cm="1">
        <f t="array" ref="R2879">_xlfn._xlws.FILTER(#REF!, E2879:P2879=MIN(E2879:P2879))</f>
        <v>#REF!</v>
      </c>
    </row>
    <row r="2880" spans="18:18">
      <c r="R2880" s="137" t="e" cm="1">
        <f t="array" ref="R2880">_xlfn._xlws.FILTER(#REF!, E2880:P2880=MIN(E2880:P2880))</f>
        <v>#REF!</v>
      </c>
    </row>
    <row r="2881" spans="18:18">
      <c r="R2881" s="137" t="e" cm="1">
        <f t="array" ref="R2881">_xlfn._xlws.FILTER(#REF!, E2881:P2881=MIN(E2881:P2881))</f>
        <v>#REF!</v>
      </c>
    </row>
    <row r="2882" spans="18:18">
      <c r="R2882" s="137" t="e" cm="1">
        <f t="array" ref="R2882">_xlfn._xlws.FILTER(#REF!, E2882:P2882=MIN(E2882:P2882))</f>
        <v>#REF!</v>
      </c>
    </row>
    <row r="2883" spans="18:18">
      <c r="R2883" s="137" t="e" cm="1">
        <f t="array" ref="R2883">_xlfn._xlws.FILTER(#REF!, E2883:P2883=MIN(E2883:P2883))</f>
        <v>#REF!</v>
      </c>
    </row>
    <row r="2884" spans="18:18">
      <c r="R2884" s="137" t="e" cm="1">
        <f t="array" ref="R2884">_xlfn._xlws.FILTER(#REF!, E2884:P2884=MIN(E2884:P2884))</f>
        <v>#REF!</v>
      </c>
    </row>
    <row r="2885" spans="18:18">
      <c r="R2885" s="137" t="e" cm="1">
        <f t="array" ref="R2885">_xlfn._xlws.FILTER(#REF!, E2885:P2885=MIN(E2885:P2885))</f>
        <v>#REF!</v>
      </c>
    </row>
    <row r="2886" spans="18:18">
      <c r="R2886" s="137" t="e" cm="1">
        <f t="array" ref="R2886">_xlfn._xlws.FILTER(#REF!, E2886:P2886=MIN(E2886:P2886))</f>
        <v>#REF!</v>
      </c>
    </row>
    <row r="2887" spans="18:18">
      <c r="R2887" s="137" t="e" cm="1">
        <f t="array" ref="R2887">_xlfn._xlws.FILTER(#REF!, E2887:P2887=MIN(E2887:P2887))</f>
        <v>#REF!</v>
      </c>
    </row>
    <row r="2888" spans="18:18">
      <c r="R2888" s="137" t="e" cm="1">
        <f t="array" ref="R2888">_xlfn._xlws.FILTER(#REF!, E2888:P2888=MIN(E2888:P2888))</f>
        <v>#REF!</v>
      </c>
    </row>
    <row r="2889" spans="18:18">
      <c r="R2889" s="137" t="e" cm="1">
        <f t="array" ref="R2889">_xlfn._xlws.FILTER(#REF!, E2889:P2889=MIN(E2889:P2889))</f>
        <v>#REF!</v>
      </c>
    </row>
    <row r="2890" spans="18:18">
      <c r="R2890" s="137" t="e" cm="1">
        <f t="array" ref="R2890">_xlfn._xlws.FILTER(#REF!, E2890:P2890=MIN(E2890:P2890))</f>
        <v>#REF!</v>
      </c>
    </row>
    <row r="2891" spans="18:18">
      <c r="R2891" s="137" t="e" cm="1">
        <f t="array" ref="R2891">_xlfn._xlws.FILTER(#REF!, E2891:P2891=MIN(E2891:P2891))</f>
        <v>#REF!</v>
      </c>
    </row>
    <row r="2892" spans="18:18">
      <c r="R2892" s="137" t="e" cm="1">
        <f t="array" ref="R2892">_xlfn._xlws.FILTER(#REF!, E2892:P2892=MIN(E2892:P2892))</f>
        <v>#REF!</v>
      </c>
    </row>
    <row r="2893" spans="18:18">
      <c r="R2893" s="137" t="e" cm="1">
        <f t="array" ref="R2893">_xlfn._xlws.FILTER(#REF!, E2893:P2893=MIN(E2893:P2893))</f>
        <v>#REF!</v>
      </c>
    </row>
    <row r="2894" spans="18:18">
      <c r="R2894" s="137" t="e" cm="1">
        <f t="array" ref="R2894">_xlfn._xlws.FILTER(#REF!, E2894:P2894=MIN(E2894:P2894))</f>
        <v>#REF!</v>
      </c>
    </row>
    <row r="2895" spans="18:18">
      <c r="R2895" s="137" t="e" cm="1">
        <f t="array" ref="R2895">_xlfn._xlws.FILTER(#REF!, E2895:P2895=MIN(E2895:P2895))</f>
        <v>#REF!</v>
      </c>
    </row>
    <row r="2896" spans="18:18">
      <c r="R2896" s="137" t="e" cm="1">
        <f t="array" ref="R2896">_xlfn._xlws.FILTER(#REF!, E2896:P2896=MIN(E2896:P2896))</f>
        <v>#REF!</v>
      </c>
    </row>
    <row r="2897" spans="18:18">
      <c r="R2897" s="137" t="e" cm="1">
        <f t="array" ref="R2897">_xlfn._xlws.FILTER(#REF!, E2897:P2897=MIN(E2897:P2897))</f>
        <v>#REF!</v>
      </c>
    </row>
    <row r="2898" spans="18:18">
      <c r="R2898" s="137" t="e" cm="1">
        <f t="array" ref="R2898">_xlfn._xlws.FILTER(#REF!, E2898:P2898=MIN(E2898:P2898))</f>
        <v>#REF!</v>
      </c>
    </row>
    <row r="2899" spans="18:18">
      <c r="R2899" s="137" t="e" cm="1">
        <f t="array" ref="R2899">_xlfn._xlws.FILTER(#REF!, E2899:P2899=MIN(E2899:P2899))</f>
        <v>#REF!</v>
      </c>
    </row>
    <row r="2900" spans="18:18">
      <c r="R2900" s="137" t="e" cm="1">
        <f t="array" ref="R2900">_xlfn._xlws.FILTER(#REF!, E2900:P2900=MIN(E2900:P2900))</f>
        <v>#REF!</v>
      </c>
    </row>
    <row r="2901" spans="18:18">
      <c r="R2901" s="137" t="e" cm="1">
        <f t="array" ref="R2901">_xlfn._xlws.FILTER(#REF!, E2901:P2901=MIN(E2901:P2901))</f>
        <v>#REF!</v>
      </c>
    </row>
    <row r="2902" spans="18:18">
      <c r="R2902" s="137" t="e" cm="1">
        <f t="array" ref="R2902">_xlfn._xlws.FILTER(#REF!, E2902:P2902=MIN(E2902:P2902))</f>
        <v>#REF!</v>
      </c>
    </row>
    <row r="2903" spans="18:18">
      <c r="R2903" s="137" t="e" cm="1">
        <f t="array" ref="R2903">_xlfn._xlws.FILTER(#REF!, E2903:P2903=MIN(E2903:P2903))</f>
        <v>#REF!</v>
      </c>
    </row>
    <row r="2904" spans="18:18">
      <c r="R2904" s="137" t="e" cm="1">
        <f t="array" ref="R2904">_xlfn._xlws.FILTER(#REF!, E2904:P2904=MIN(E2904:P2904))</f>
        <v>#REF!</v>
      </c>
    </row>
    <row r="2905" spans="18:18">
      <c r="R2905" s="137" t="e" cm="1">
        <f t="array" ref="R2905">_xlfn._xlws.FILTER(#REF!, E2905:P2905=MIN(E2905:P2905))</f>
        <v>#REF!</v>
      </c>
    </row>
    <row r="2906" spans="18:18">
      <c r="R2906" s="137" t="e" cm="1">
        <f t="array" ref="R2906">_xlfn._xlws.FILTER(#REF!, E2906:P2906=MIN(E2906:P2906))</f>
        <v>#REF!</v>
      </c>
    </row>
    <row r="2907" spans="18:18">
      <c r="R2907" s="137" t="e" cm="1">
        <f t="array" ref="R2907">_xlfn._xlws.FILTER(#REF!, E2907:P2907=MIN(E2907:P2907))</f>
        <v>#REF!</v>
      </c>
    </row>
    <row r="2908" spans="18:18">
      <c r="R2908" s="137" t="e" cm="1">
        <f t="array" ref="R2908">_xlfn._xlws.FILTER(#REF!, E2908:P2908=MIN(E2908:P2908))</f>
        <v>#REF!</v>
      </c>
    </row>
    <row r="2909" spans="18:18">
      <c r="R2909" s="137" t="e" cm="1">
        <f t="array" ref="R2909">_xlfn._xlws.FILTER(#REF!, E2909:P2909=MIN(E2909:P2909))</f>
        <v>#REF!</v>
      </c>
    </row>
    <row r="2910" spans="18:18">
      <c r="R2910" s="137" t="e" cm="1">
        <f t="array" ref="R2910">_xlfn._xlws.FILTER(#REF!, E2910:P2910=MIN(E2910:P2910))</f>
        <v>#REF!</v>
      </c>
    </row>
    <row r="2911" spans="18:18">
      <c r="R2911" s="137" t="e" cm="1">
        <f t="array" ref="R2911">_xlfn._xlws.FILTER(#REF!, E2911:P2911=MIN(E2911:P2911))</f>
        <v>#REF!</v>
      </c>
    </row>
    <row r="2912" spans="18:18">
      <c r="R2912" s="137" t="e" cm="1">
        <f t="array" ref="R2912">_xlfn._xlws.FILTER(#REF!, E2912:P2912=MIN(E2912:P2912))</f>
        <v>#REF!</v>
      </c>
    </row>
    <row r="2913" spans="18:18">
      <c r="R2913" s="137" t="e" cm="1">
        <f t="array" ref="R2913">_xlfn._xlws.FILTER(#REF!, E2913:P2913=MIN(E2913:P2913))</f>
        <v>#REF!</v>
      </c>
    </row>
    <row r="2914" spans="18:18">
      <c r="R2914" s="137" t="e" cm="1">
        <f t="array" ref="R2914">_xlfn._xlws.FILTER(#REF!, E2914:P2914=MIN(E2914:P2914))</f>
        <v>#REF!</v>
      </c>
    </row>
    <row r="2915" spans="18:18">
      <c r="R2915" s="137" t="e" cm="1">
        <f t="array" ref="R2915">_xlfn._xlws.FILTER(#REF!, E2915:P2915=MIN(E2915:P2915))</f>
        <v>#REF!</v>
      </c>
    </row>
    <row r="2916" spans="18:18">
      <c r="R2916" s="137" t="e" cm="1">
        <f t="array" ref="R2916">_xlfn._xlws.FILTER(#REF!, E2916:P2916=MIN(E2916:P2916))</f>
        <v>#REF!</v>
      </c>
    </row>
    <row r="2917" spans="18:18">
      <c r="R2917" s="137" t="e" cm="1">
        <f t="array" ref="R2917">_xlfn._xlws.FILTER(#REF!, E2917:P2917=MIN(E2917:P2917))</f>
        <v>#REF!</v>
      </c>
    </row>
    <row r="2918" spans="18:18">
      <c r="R2918" s="137" t="e" cm="1">
        <f t="array" ref="R2918">_xlfn._xlws.FILTER(#REF!, E2918:P2918=MIN(E2918:P2918))</f>
        <v>#REF!</v>
      </c>
    </row>
    <row r="2919" spans="18:18">
      <c r="R2919" s="137" t="e" cm="1">
        <f t="array" ref="R2919">_xlfn._xlws.FILTER(#REF!, E2919:P2919=MIN(E2919:P2919))</f>
        <v>#REF!</v>
      </c>
    </row>
    <row r="2920" spans="18:18">
      <c r="R2920" s="137" t="e" cm="1">
        <f t="array" ref="R2920">_xlfn._xlws.FILTER(#REF!, E2920:P2920=MIN(E2920:P2920))</f>
        <v>#REF!</v>
      </c>
    </row>
    <row r="2921" spans="18:18">
      <c r="R2921" s="137" t="e" cm="1">
        <f t="array" ref="R2921">_xlfn._xlws.FILTER(#REF!, E2921:P2921=MIN(E2921:P2921))</f>
        <v>#REF!</v>
      </c>
    </row>
    <row r="2922" spans="18:18">
      <c r="R2922" s="137" t="e" cm="1">
        <f t="array" ref="R2922">_xlfn._xlws.FILTER(#REF!, E2922:P2922=MIN(E2922:P2922))</f>
        <v>#REF!</v>
      </c>
    </row>
    <row r="2923" spans="18:18">
      <c r="R2923" s="137" t="e" cm="1">
        <f t="array" ref="R2923">_xlfn._xlws.FILTER(#REF!, E2923:P2923=MIN(E2923:P2923))</f>
        <v>#REF!</v>
      </c>
    </row>
    <row r="2924" spans="18:18">
      <c r="R2924" s="137" t="e" cm="1">
        <f t="array" ref="R2924">_xlfn._xlws.FILTER(#REF!, E2924:P2924=MIN(E2924:P2924))</f>
        <v>#REF!</v>
      </c>
    </row>
    <row r="2925" spans="18:18">
      <c r="R2925" s="137" t="e" cm="1">
        <f t="array" ref="R2925">_xlfn._xlws.FILTER(#REF!, E2925:P2925=MIN(E2925:P2925))</f>
        <v>#REF!</v>
      </c>
    </row>
    <row r="2926" spans="18:18">
      <c r="R2926" s="137" t="e" cm="1">
        <f t="array" ref="R2926">_xlfn._xlws.FILTER(#REF!, E2926:P2926=MIN(E2926:P2926))</f>
        <v>#REF!</v>
      </c>
    </row>
    <row r="2927" spans="18:18">
      <c r="R2927" s="137" t="e" cm="1">
        <f t="array" ref="R2927">_xlfn._xlws.FILTER(#REF!, E2927:P2927=MIN(E2927:P2927))</f>
        <v>#REF!</v>
      </c>
    </row>
    <row r="2928" spans="18:18">
      <c r="R2928" s="137" t="e" cm="1">
        <f t="array" ref="R2928">_xlfn._xlws.FILTER(#REF!, E2928:P2928=MIN(E2928:P2928))</f>
        <v>#REF!</v>
      </c>
    </row>
    <row r="2929" spans="18:18">
      <c r="R2929" s="137" t="e" cm="1">
        <f t="array" ref="R2929">_xlfn._xlws.FILTER(#REF!, E2929:P2929=MIN(E2929:P2929))</f>
        <v>#REF!</v>
      </c>
    </row>
    <row r="2930" spans="18:18">
      <c r="R2930" s="137" t="e" cm="1">
        <f t="array" ref="R2930">_xlfn._xlws.FILTER(#REF!, E2930:P2930=MIN(E2930:P2930))</f>
        <v>#REF!</v>
      </c>
    </row>
    <row r="2931" spans="18:18">
      <c r="R2931" s="137" t="e" cm="1">
        <f t="array" ref="R2931">_xlfn._xlws.FILTER(#REF!, E2931:P2931=MIN(E2931:P2931))</f>
        <v>#REF!</v>
      </c>
    </row>
    <row r="2932" spans="18:18">
      <c r="R2932" s="137" t="e" cm="1">
        <f t="array" ref="R2932">_xlfn._xlws.FILTER(#REF!, E2932:P2932=MIN(E2932:P2932))</f>
        <v>#REF!</v>
      </c>
    </row>
    <row r="2933" spans="18:18">
      <c r="R2933" s="137" t="e" cm="1">
        <f t="array" ref="R2933">_xlfn._xlws.FILTER(#REF!, E2933:P2933=MIN(E2933:P2933))</f>
        <v>#REF!</v>
      </c>
    </row>
    <row r="2934" spans="18:18">
      <c r="R2934" s="137" t="e" cm="1">
        <f t="array" ref="R2934">_xlfn._xlws.FILTER(#REF!, E2934:P2934=MIN(E2934:P2934))</f>
        <v>#REF!</v>
      </c>
    </row>
    <row r="2935" spans="18:18">
      <c r="R2935" s="137" t="e" cm="1">
        <f t="array" ref="R2935">_xlfn._xlws.FILTER(#REF!, E2935:P2935=MIN(E2935:P2935))</f>
        <v>#REF!</v>
      </c>
    </row>
    <row r="2936" spans="18:18">
      <c r="R2936" s="137" t="e" cm="1">
        <f t="array" ref="R2936">_xlfn._xlws.FILTER(#REF!, E2936:P2936=MIN(E2936:P2936))</f>
        <v>#REF!</v>
      </c>
    </row>
    <row r="2937" spans="18:18">
      <c r="R2937" s="137" t="e" cm="1">
        <f t="array" ref="R2937">_xlfn._xlws.FILTER(#REF!, E2937:P2937=MIN(E2937:P2937))</f>
        <v>#REF!</v>
      </c>
    </row>
    <row r="2938" spans="18:18">
      <c r="R2938" s="137" t="e" cm="1">
        <f t="array" ref="R2938">_xlfn._xlws.FILTER(#REF!, E2938:P2938=MIN(E2938:P2938))</f>
        <v>#REF!</v>
      </c>
    </row>
    <row r="2939" spans="18:18">
      <c r="R2939" s="137" t="e" cm="1">
        <f t="array" ref="R2939">_xlfn._xlws.FILTER(#REF!, E2939:P2939=MIN(E2939:P2939))</f>
        <v>#REF!</v>
      </c>
    </row>
    <row r="2940" spans="18:18">
      <c r="R2940" s="137" t="e" cm="1">
        <f t="array" ref="R2940">_xlfn._xlws.FILTER(#REF!, E2940:P2940=MIN(E2940:P2940))</f>
        <v>#REF!</v>
      </c>
    </row>
    <row r="2941" spans="18:18">
      <c r="R2941" s="137" t="e" cm="1">
        <f t="array" ref="R2941">_xlfn._xlws.FILTER(#REF!, E2941:P2941=MIN(E2941:P2941))</f>
        <v>#REF!</v>
      </c>
    </row>
    <row r="2942" spans="18:18">
      <c r="R2942" s="137" t="e" cm="1">
        <f t="array" ref="R2942">_xlfn._xlws.FILTER(#REF!, E2942:P2942=MIN(E2942:P2942))</f>
        <v>#REF!</v>
      </c>
    </row>
    <row r="2943" spans="18:18">
      <c r="R2943" s="137" t="e" cm="1">
        <f t="array" ref="R2943">_xlfn._xlws.FILTER(#REF!, E2943:P2943=MIN(E2943:P2943))</f>
        <v>#REF!</v>
      </c>
    </row>
    <row r="2944" spans="18:18">
      <c r="R2944" s="137" t="e" cm="1">
        <f t="array" ref="R2944">_xlfn._xlws.FILTER(#REF!, E2944:P2944=MIN(E2944:P2944))</f>
        <v>#REF!</v>
      </c>
    </row>
    <row r="2945" spans="18:18">
      <c r="R2945" s="137" t="e" cm="1">
        <f t="array" ref="R2945">_xlfn._xlws.FILTER(#REF!, E2945:P2945=MIN(E2945:P2945))</f>
        <v>#REF!</v>
      </c>
    </row>
    <row r="2946" spans="18:18">
      <c r="R2946" s="137" t="e" cm="1">
        <f t="array" ref="R2946">_xlfn._xlws.FILTER(#REF!, E2946:P2946=MIN(E2946:P2946))</f>
        <v>#REF!</v>
      </c>
    </row>
    <row r="2947" spans="18:18">
      <c r="R2947" s="137" t="e" cm="1">
        <f t="array" ref="R2947">_xlfn._xlws.FILTER(#REF!, E2947:P2947=MIN(E2947:P2947))</f>
        <v>#REF!</v>
      </c>
    </row>
    <row r="2948" spans="18:18">
      <c r="R2948" s="137" t="e" cm="1">
        <f t="array" ref="R2948">_xlfn._xlws.FILTER(#REF!, E2948:P2948=MIN(E2948:P2948))</f>
        <v>#REF!</v>
      </c>
    </row>
    <row r="2949" spans="18:18">
      <c r="R2949" s="137" t="e" cm="1">
        <f t="array" ref="R2949">_xlfn._xlws.FILTER(#REF!, E2949:P2949=MIN(E2949:P2949))</f>
        <v>#REF!</v>
      </c>
    </row>
    <row r="2950" spans="18:18">
      <c r="R2950" s="137" t="e" cm="1">
        <f t="array" ref="R2950">_xlfn._xlws.FILTER(#REF!, E2950:P2950=MIN(E2950:P2950))</f>
        <v>#REF!</v>
      </c>
    </row>
    <row r="2951" spans="18:18">
      <c r="R2951" s="137" t="e" cm="1">
        <f t="array" ref="R2951">_xlfn._xlws.FILTER(#REF!, E2951:P2951=MIN(E2951:P2951))</f>
        <v>#REF!</v>
      </c>
    </row>
    <row r="2952" spans="18:18">
      <c r="R2952" s="137" t="e" cm="1">
        <f t="array" ref="R2952">_xlfn._xlws.FILTER(#REF!, E2952:P2952=MIN(E2952:P2952))</f>
        <v>#REF!</v>
      </c>
    </row>
    <row r="2953" spans="18:18">
      <c r="R2953" s="137" t="e" cm="1">
        <f t="array" ref="R2953">_xlfn._xlws.FILTER(#REF!, E2953:P2953=MIN(E2953:P2953))</f>
        <v>#REF!</v>
      </c>
    </row>
    <row r="2954" spans="18:18">
      <c r="R2954" s="137" t="e" cm="1">
        <f t="array" ref="R2954">_xlfn._xlws.FILTER(#REF!, E2954:P2954=MIN(E2954:P2954))</f>
        <v>#REF!</v>
      </c>
    </row>
    <row r="2955" spans="18:18">
      <c r="R2955" s="137" t="e" cm="1">
        <f t="array" ref="R2955">_xlfn._xlws.FILTER(#REF!, E2955:P2955=MIN(E2955:P2955))</f>
        <v>#REF!</v>
      </c>
    </row>
    <row r="2956" spans="18:18">
      <c r="R2956" s="137" t="e" cm="1">
        <f t="array" ref="R2956">_xlfn._xlws.FILTER(#REF!, E2956:P2956=MIN(E2956:P2956))</f>
        <v>#REF!</v>
      </c>
    </row>
    <row r="2957" spans="18:18">
      <c r="R2957" s="137" t="e" cm="1">
        <f t="array" ref="R2957">_xlfn._xlws.FILTER(#REF!, E2957:P2957=MIN(E2957:P2957))</f>
        <v>#REF!</v>
      </c>
    </row>
    <row r="2958" spans="18:18">
      <c r="R2958" s="137" t="e" cm="1">
        <f t="array" ref="R2958">_xlfn._xlws.FILTER(#REF!, E2958:P2958=MIN(E2958:P2958))</f>
        <v>#REF!</v>
      </c>
    </row>
    <row r="2959" spans="18:18">
      <c r="R2959" s="137" t="e" cm="1">
        <f t="array" ref="R2959">_xlfn._xlws.FILTER(#REF!, E2959:P2959=MIN(E2959:P2959))</f>
        <v>#REF!</v>
      </c>
    </row>
    <row r="2960" spans="18:18">
      <c r="R2960" s="137" t="e" cm="1">
        <f t="array" ref="R2960">_xlfn._xlws.FILTER(#REF!, E2960:P2960=MIN(E2960:P2960))</f>
        <v>#REF!</v>
      </c>
    </row>
    <row r="2961" spans="18:18">
      <c r="R2961" s="137" t="e" cm="1">
        <f t="array" ref="R2961">_xlfn._xlws.FILTER(#REF!, E2961:P2961=MIN(E2961:P2961))</f>
        <v>#REF!</v>
      </c>
    </row>
    <row r="2962" spans="18:18">
      <c r="R2962" s="137" t="e" cm="1">
        <f t="array" ref="R2962">_xlfn._xlws.FILTER(#REF!, E2962:P2962=MIN(E2962:P2962))</f>
        <v>#REF!</v>
      </c>
    </row>
    <row r="2963" spans="18:18">
      <c r="R2963" s="137" t="e" cm="1">
        <f t="array" ref="R2963">_xlfn._xlws.FILTER(#REF!, E2963:P2963=MIN(E2963:P2963))</f>
        <v>#REF!</v>
      </c>
    </row>
    <row r="2964" spans="18:18">
      <c r="R2964" s="137" t="e" cm="1">
        <f t="array" ref="R2964">_xlfn._xlws.FILTER(#REF!, E2964:P2964=MIN(E2964:P2964))</f>
        <v>#REF!</v>
      </c>
    </row>
    <row r="2965" spans="18:18">
      <c r="R2965" s="137" t="e" cm="1">
        <f t="array" ref="R2965">_xlfn._xlws.FILTER(#REF!, E2965:P2965=MIN(E2965:P2965))</f>
        <v>#REF!</v>
      </c>
    </row>
    <row r="2966" spans="18:18">
      <c r="R2966" s="137" t="e" cm="1">
        <f t="array" ref="R2966">_xlfn._xlws.FILTER(#REF!, E2966:P2966=MIN(E2966:P2966))</f>
        <v>#REF!</v>
      </c>
    </row>
    <row r="2967" spans="18:18">
      <c r="R2967" s="137" t="e" cm="1">
        <f t="array" ref="R2967">_xlfn._xlws.FILTER(#REF!, E2967:P2967=MIN(E2967:P2967))</f>
        <v>#REF!</v>
      </c>
    </row>
    <row r="2968" spans="18:18">
      <c r="R2968" s="137" t="e" cm="1">
        <f t="array" ref="R2968">_xlfn._xlws.FILTER(#REF!, E2968:P2968=MIN(E2968:P2968))</f>
        <v>#REF!</v>
      </c>
    </row>
    <row r="2969" spans="18:18">
      <c r="R2969" s="137" t="e" cm="1">
        <f t="array" ref="R2969">_xlfn._xlws.FILTER(#REF!, E2969:P2969=MIN(E2969:P2969))</f>
        <v>#REF!</v>
      </c>
    </row>
    <row r="2970" spans="18:18">
      <c r="R2970" s="137" t="e" cm="1">
        <f t="array" ref="R2970">_xlfn._xlws.FILTER(#REF!, E2970:P2970=MIN(E2970:P2970))</f>
        <v>#REF!</v>
      </c>
    </row>
    <row r="2971" spans="18:18">
      <c r="R2971" s="137" t="e" cm="1">
        <f t="array" ref="R2971">_xlfn._xlws.FILTER(#REF!, E2971:P2971=MIN(E2971:P2971))</f>
        <v>#REF!</v>
      </c>
    </row>
    <row r="2972" spans="18:18">
      <c r="R2972" s="137" t="e" cm="1">
        <f t="array" ref="R2972">_xlfn._xlws.FILTER(#REF!, E2972:P2972=MIN(E2972:P2972))</f>
        <v>#REF!</v>
      </c>
    </row>
    <row r="2973" spans="18:18">
      <c r="R2973" s="137" t="e" cm="1">
        <f t="array" ref="R2973">_xlfn._xlws.FILTER(#REF!, E2973:P2973=MIN(E2973:P2973))</f>
        <v>#REF!</v>
      </c>
    </row>
    <row r="2974" spans="18:18">
      <c r="R2974" s="137" t="e" cm="1">
        <f t="array" ref="R2974">_xlfn._xlws.FILTER(#REF!, E2974:P2974=MIN(E2974:P2974))</f>
        <v>#REF!</v>
      </c>
    </row>
    <row r="2975" spans="18:18">
      <c r="R2975" s="137" t="e" cm="1">
        <f t="array" ref="R2975">_xlfn._xlws.FILTER(#REF!, E2975:P2975=MIN(E2975:P2975))</f>
        <v>#REF!</v>
      </c>
    </row>
    <row r="2976" spans="18:18">
      <c r="R2976" s="137" t="e" cm="1">
        <f t="array" ref="R2976">_xlfn._xlws.FILTER(#REF!, E2976:P2976=MIN(E2976:P2976))</f>
        <v>#REF!</v>
      </c>
    </row>
    <row r="2977" spans="18:18">
      <c r="R2977" s="137" t="e" cm="1">
        <f t="array" ref="R2977">_xlfn._xlws.FILTER(#REF!, E2977:P2977=MIN(E2977:P2977))</f>
        <v>#REF!</v>
      </c>
    </row>
    <row r="2978" spans="18:18">
      <c r="R2978" s="137" t="e" cm="1">
        <f t="array" ref="R2978">_xlfn._xlws.FILTER(#REF!, E2978:P2978=MIN(E2978:P2978))</f>
        <v>#REF!</v>
      </c>
    </row>
    <row r="2979" spans="18:18">
      <c r="R2979" s="137" t="e" cm="1">
        <f t="array" ref="R2979">_xlfn._xlws.FILTER(#REF!, E2979:P2979=MIN(E2979:P2979))</f>
        <v>#REF!</v>
      </c>
    </row>
    <row r="2980" spans="18:18">
      <c r="R2980" s="137" t="e" cm="1">
        <f t="array" ref="R2980">_xlfn._xlws.FILTER(#REF!, E2980:P2980=MIN(E2980:P2980))</f>
        <v>#REF!</v>
      </c>
    </row>
    <row r="2981" spans="18:18">
      <c r="R2981" s="137" t="e" cm="1">
        <f t="array" ref="R2981">_xlfn._xlws.FILTER(#REF!, E2981:P2981=MIN(E2981:P2981))</f>
        <v>#REF!</v>
      </c>
    </row>
    <row r="2982" spans="18:18">
      <c r="R2982" s="137" t="e" cm="1">
        <f t="array" ref="R2982">_xlfn._xlws.FILTER(#REF!, E2982:P2982=MIN(E2982:P2982))</f>
        <v>#REF!</v>
      </c>
    </row>
    <row r="2983" spans="18:18">
      <c r="R2983" s="137" t="e" cm="1">
        <f t="array" ref="R2983">_xlfn._xlws.FILTER(#REF!, E2983:P2983=MIN(E2983:P2983))</f>
        <v>#REF!</v>
      </c>
    </row>
    <row r="2984" spans="18:18">
      <c r="R2984" s="137" t="e" cm="1">
        <f t="array" ref="R2984">_xlfn._xlws.FILTER(#REF!, E2984:P2984=MIN(E2984:P2984))</f>
        <v>#REF!</v>
      </c>
    </row>
    <row r="2985" spans="18:18">
      <c r="R2985" s="137" t="e" cm="1">
        <f t="array" ref="R2985">_xlfn._xlws.FILTER(#REF!, E2985:P2985=MIN(E2985:P2985))</f>
        <v>#REF!</v>
      </c>
    </row>
    <row r="2986" spans="18:18">
      <c r="R2986" s="137" t="e" cm="1">
        <f t="array" ref="R2986">_xlfn._xlws.FILTER(#REF!, E2986:P2986=MIN(E2986:P2986))</f>
        <v>#REF!</v>
      </c>
    </row>
    <row r="2987" spans="18:18">
      <c r="R2987" s="137" t="e" cm="1">
        <f t="array" ref="R2987">_xlfn._xlws.FILTER(#REF!, E2987:P2987=MIN(E2987:P2987))</f>
        <v>#REF!</v>
      </c>
    </row>
    <row r="2988" spans="18:18">
      <c r="R2988" s="137" t="e" cm="1">
        <f t="array" ref="R2988">_xlfn._xlws.FILTER(#REF!, E2988:P2988=MIN(E2988:P2988))</f>
        <v>#REF!</v>
      </c>
    </row>
    <row r="2989" spans="18:18">
      <c r="R2989" s="137" t="e" cm="1">
        <f t="array" ref="R2989">_xlfn._xlws.FILTER(#REF!, E2989:P2989=MIN(E2989:P2989))</f>
        <v>#REF!</v>
      </c>
    </row>
    <row r="2990" spans="18:18">
      <c r="R2990" s="137" t="e" cm="1">
        <f t="array" ref="R2990">_xlfn._xlws.FILTER(#REF!, E2990:P2990=MIN(E2990:P2990))</f>
        <v>#REF!</v>
      </c>
    </row>
  </sheetData>
  <mergeCells count="51">
    <mergeCell ref="C17:C18"/>
    <mergeCell ref="B3:B4"/>
    <mergeCell ref="C3:C4"/>
    <mergeCell ref="B5:B6"/>
    <mergeCell ref="C5:C6"/>
    <mergeCell ref="C7:C8"/>
    <mergeCell ref="C9:C10"/>
    <mergeCell ref="B11:B12"/>
    <mergeCell ref="C11:C12"/>
    <mergeCell ref="B13:B14"/>
    <mergeCell ref="C13:C14"/>
    <mergeCell ref="C15:C16"/>
    <mergeCell ref="C105:C109"/>
    <mergeCell ref="C57:C61"/>
    <mergeCell ref="C19:C20"/>
    <mergeCell ref="B21:B23"/>
    <mergeCell ref="C21:C26"/>
    <mergeCell ref="C27:C31"/>
    <mergeCell ref="B33:B35"/>
    <mergeCell ref="C33:C38"/>
    <mergeCell ref="B39:B41"/>
    <mergeCell ref="C39:C44"/>
    <mergeCell ref="C45:C49"/>
    <mergeCell ref="B51:B53"/>
    <mergeCell ref="C51:C56"/>
    <mergeCell ref="C81:C85"/>
    <mergeCell ref="B87:B89"/>
    <mergeCell ref="C87:C92"/>
    <mergeCell ref="C93:C97"/>
    <mergeCell ref="C99:C103"/>
    <mergeCell ref="B63:B65"/>
    <mergeCell ref="C63:C68"/>
    <mergeCell ref="C69:C73"/>
    <mergeCell ref="B75:B77"/>
    <mergeCell ref="C75:C80"/>
    <mergeCell ref="B1:D1"/>
    <mergeCell ref="C192:C198"/>
    <mergeCell ref="B154:B160"/>
    <mergeCell ref="C154:C160"/>
    <mergeCell ref="C176:C183"/>
    <mergeCell ref="B177:B183"/>
    <mergeCell ref="C184:C191"/>
    <mergeCell ref="B185:B191"/>
    <mergeCell ref="B192:B199"/>
    <mergeCell ref="C131:C134"/>
    <mergeCell ref="C135:C136"/>
    <mergeCell ref="B140:B146"/>
    <mergeCell ref="C140:C146"/>
    <mergeCell ref="B147:B153"/>
    <mergeCell ref="C147:C153"/>
    <mergeCell ref="C127:C130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8" fitToHeight="8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F5A9-F01B-4774-AF00-FFB99B561984}">
  <dimension ref="A2:B3"/>
  <sheetViews>
    <sheetView workbookViewId="0"/>
  </sheetViews>
  <sheetFormatPr defaultRowHeight="12.6"/>
  <sheetData>
    <row r="2" spans="1:2">
      <c r="A2" t="s">
        <v>262</v>
      </c>
      <c r="B2" t="s">
        <v>263</v>
      </c>
    </row>
    <row r="3" spans="1:2">
      <c r="A3" t="s">
        <v>264</v>
      </c>
      <c r="B3" t="s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0278-4797-4236-8423-F5155ACE64BD}">
  <sheetPr>
    <pageSetUpPr fitToPage="1"/>
  </sheetPr>
  <dimension ref="A1:Y181"/>
  <sheetViews>
    <sheetView showGridLines="0" tabSelected="1" topLeftCell="A4" zoomScale="30" zoomScaleNormal="30" workbookViewId="0">
      <pane ySplit="2" topLeftCell="A11" activePane="bottomLeft" state="frozen"/>
      <selection pane="bottomLeft" activeCell="U17" sqref="U17"/>
      <selection activeCell="A4" sqref="A4"/>
    </sheetView>
  </sheetViews>
  <sheetFormatPr defaultColWidth="9.140625" defaultRowHeight="35.450000000000003"/>
  <cols>
    <col min="1" max="1" width="15.5703125" style="178" bestFit="1" customWidth="1"/>
    <col min="2" max="2" width="101.5703125" style="137" customWidth="1"/>
    <col min="3" max="3" width="28.140625" style="180" bestFit="1" customWidth="1"/>
    <col min="4" max="4" width="9.42578125" style="137" customWidth="1"/>
    <col min="5" max="5" width="14.42578125" style="137" bestFit="1" customWidth="1"/>
    <col min="6" max="6" width="18.28515625" style="137" customWidth="1"/>
    <col min="7" max="7" width="14.42578125" style="137" bestFit="1" customWidth="1"/>
    <col min="8" max="8" width="14.7109375" style="137" bestFit="1" customWidth="1"/>
    <col min="9" max="9" width="21.7109375" style="137" bestFit="1" customWidth="1"/>
    <col min="10" max="10" width="14.5703125" style="137" bestFit="1" customWidth="1"/>
    <col min="11" max="11" width="15.5703125" style="137" bestFit="1" customWidth="1"/>
    <col min="12" max="12" width="16.140625" style="137" bestFit="1" customWidth="1"/>
    <col min="13" max="13" width="15.140625" style="137" bestFit="1" customWidth="1"/>
    <col min="14" max="14" width="26.85546875" style="137" bestFit="1" customWidth="1"/>
    <col min="15" max="15" width="14" style="137" bestFit="1" customWidth="1"/>
    <col min="16" max="16" width="18.140625" style="137" bestFit="1" customWidth="1"/>
    <col min="17" max="17" width="15.5703125" style="137" bestFit="1" customWidth="1"/>
    <col min="18" max="18" width="31.5703125" style="180" bestFit="1" customWidth="1"/>
    <col min="19" max="19" width="20.42578125" style="137" customWidth="1"/>
    <col min="20" max="20" width="51.28515625" style="137" customWidth="1"/>
    <col min="21" max="21" width="43.5703125" style="137" bestFit="1" customWidth="1"/>
    <col min="22" max="23" width="9.140625" style="137"/>
    <col min="24" max="24" width="3.5703125" style="137" bestFit="1" customWidth="1"/>
    <col min="25" max="25" width="88.28515625" style="137" bestFit="1" customWidth="1"/>
    <col min="26" max="16384" width="9.140625" style="137"/>
  </cols>
  <sheetData>
    <row r="1" spans="1:20">
      <c r="B1" s="137" t="s">
        <v>266</v>
      </c>
      <c r="D1" s="137">
        <v>6</v>
      </c>
      <c r="E1" s="137">
        <v>8</v>
      </c>
      <c r="F1" s="137">
        <v>9</v>
      </c>
      <c r="G1" s="137">
        <v>10</v>
      </c>
      <c r="H1" s="137">
        <v>11</v>
      </c>
      <c r="I1" s="137">
        <v>12</v>
      </c>
      <c r="J1" s="137">
        <v>13</v>
      </c>
      <c r="K1" s="137">
        <v>14</v>
      </c>
      <c r="L1" s="137">
        <v>15</v>
      </c>
      <c r="M1" s="137">
        <v>16</v>
      </c>
      <c r="N1" s="137">
        <v>17</v>
      </c>
      <c r="O1" s="137">
        <v>18</v>
      </c>
      <c r="P1" s="137">
        <v>19</v>
      </c>
      <c r="Q1" s="137">
        <v>20</v>
      </c>
      <c r="R1" s="180">
        <v>21</v>
      </c>
    </row>
    <row r="2" spans="1:20" s="182" customFormat="1">
      <c r="A2" s="181"/>
      <c r="B2" s="182" t="s">
        <v>267</v>
      </c>
      <c r="C2" s="183"/>
      <c r="D2" s="182">
        <v>46009.413576388899</v>
      </c>
      <c r="E2" s="182">
        <v>46009.448622685202</v>
      </c>
      <c r="F2" s="182">
        <v>46009.440115740697</v>
      </c>
      <c r="G2" s="182">
        <v>46009.458368055602</v>
      </c>
      <c r="H2" s="182">
        <v>46009.458912037</v>
      </c>
      <c r="I2" s="182">
        <v>46009.4552430556</v>
      </c>
      <c r="J2" s="182">
        <v>46009.4203935185</v>
      </c>
      <c r="K2" s="182">
        <v>46009.458634259303</v>
      </c>
      <c r="L2" s="182">
        <v>46009.467199074097</v>
      </c>
      <c r="M2" s="182">
        <v>46009.422708333303</v>
      </c>
      <c r="N2" s="182">
        <v>46009.497766203698</v>
      </c>
      <c r="O2" s="182">
        <v>46009.532847222203</v>
      </c>
      <c r="P2" s="182">
        <v>46009.531550925902</v>
      </c>
      <c r="Q2" s="182">
        <v>46009.510729166701</v>
      </c>
      <c r="R2" s="183">
        <v>46009.510671296302</v>
      </c>
    </row>
    <row r="3" spans="1:20" s="182" customFormat="1">
      <c r="A3" s="181"/>
      <c r="B3" s="182" t="s">
        <v>268</v>
      </c>
      <c r="C3" s="183"/>
      <c r="D3" s="182">
        <v>46009.435624999998</v>
      </c>
      <c r="E3" s="182">
        <v>46009.4558680556</v>
      </c>
      <c r="F3" s="182">
        <v>46009.458530092597</v>
      </c>
      <c r="G3" s="182">
        <v>46009.462118055599</v>
      </c>
      <c r="H3" s="182">
        <v>46009.470613425903</v>
      </c>
      <c r="I3" s="182">
        <v>46009.4785416667</v>
      </c>
      <c r="J3" s="182">
        <v>46009.480335648099</v>
      </c>
      <c r="K3" s="182">
        <v>46009.484664351898</v>
      </c>
      <c r="L3" s="182">
        <v>46009.497962963003</v>
      </c>
      <c r="M3" s="182">
        <v>46009.501782407402</v>
      </c>
      <c r="N3" s="182">
        <v>46009.529155092598</v>
      </c>
      <c r="O3" s="182">
        <v>46009.537870370397</v>
      </c>
      <c r="P3" s="182">
        <v>46009.554861111101</v>
      </c>
      <c r="Q3" s="182">
        <v>46009.562465277799</v>
      </c>
      <c r="R3" s="183">
        <v>46009.567430555602</v>
      </c>
    </row>
    <row r="4" spans="1:20" s="299" customFormat="1" ht="40.5" customHeight="1">
      <c r="B4" s="304" t="s">
        <v>169</v>
      </c>
      <c r="C4" s="304"/>
      <c r="D4" s="304"/>
      <c r="E4" s="300"/>
      <c r="H4" s="300"/>
      <c r="Q4" s="301"/>
      <c r="R4" s="302"/>
      <c r="T4" s="302" t="s">
        <v>269</v>
      </c>
    </row>
    <row r="5" spans="1:20" s="139" customFormat="1" ht="107.45">
      <c r="A5" s="175" t="s">
        <v>171</v>
      </c>
      <c r="B5" s="57" t="s">
        <v>4</v>
      </c>
      <c r="C5" s="175" t="s">
        <v>85</v>
      </c>
      <c r="D5" s="276" t="s">
        <v>49</v>
      </c>
      <c r="E5" s="276" t="s">
        <v>50</v>
      </c>
      <c r="F5" s="276" t="s">
        <v>51</v>
      </c>
      <c r="G5" s="276" t="s">
        <v>52</v>
      </c>
      <c r="H5" s="276" t="s">
        <v>53</v>
      </c>
      <c r="I5" s="276" t="s">
        <v>54</v>
      </c>
      <c r="J5" s="276" t="s">
        <v>55</v>
      </c>
      <c r="K5" s="276" t="s">
        <v>56</v>
      </c>
      <c r="L5" s="276" t="s">
        <v>57</v>
      </c>
      <c r="M5" s="276" t="s">
        <v>58</v>
      </c>
      <c r="N5" s="276" t="s">
        <v>59</v>
      </c>
      <c r="O5" s="276" t="s">
        <v>60</v>
      </c>
      <c r="P5" s="276" t="s">
        <v>61</v>
      </c>
      <c r="Q5" s="276" t="s">
        <v>62</v>
      </c>
      <c r="R5" s="276" t="s">
        <v>63</v>
      </c>
      <c r="S5" s="303" t="s">
        <v>23</v>
      </c>
      <c r="T5" s="56" t="s">
        <v>24</v>
      </c>
    </row>
    <row r="6" spans="1:20">
      <c r="A6" s="312">
        <v>44</v>
      </c>
      <c r="B6" s="184" t="s">
        <v>270</v>
      </c>
      <c r="C6" s="277" t="s">
        <v>271</v>
      </c>
      <c r="D6" s="289"/>
      <c r="E6" s="289"/>
      <c r="F6" s="289"/>
      <c r="G6" s="289"/>
      <c r="H6" s="289"/>
      <c r="I6" s="289">
        <v>11.5</v>
      </c>
      <c r="J6" s="289"/>
      <c r="K6" s="289"/>
      <c r="L6" s="289">
        <v>23.9</v>
      </c>
      <c r="M6" s="289"/>
      <c r="N6" s="290">
        <v>10</v>
      </c>
      <c r="O6" s="289"/>
      <c r="P6" s="289">
        <v>12</v>
      </c>
      <c r="Q6" s="297">
        <v>20</v>
      </c>
      <c r="R6" s="291">
        <v>123</v>
      </c>
      <c r="S6" s="240">
        <f t="shared" ref="S6:S40" si="0">MIN(D6:R6)</f>
        <v>10</v>
      </c>
      <c r="T6" s="226" t="str" cm="1">
        <f t="array" ref="T6">_xlfn._xlws.FILTER(D$5:$R$5, D6:R6=MIN(D6:R6))</f>
        <v>vendor 11</v>
      </c>
    </row>
    <row r="7" spans="1:20">
      <c r="A7" s="312"/>
      <c r="B7" s="185" t="s">
        <v>272</v>
      </c>
      <c r="C7" s="187" t="s">
        <v>191</v>
      </c>
      <c r="D7" s="188"/>
      <c r="E7" s="188"/>
      <c r="F7" s="188"/>
      <c r="G7" s="188"/>
      <c r="H7" s="188"/>
      <c r="I7" s="188">
        <v>10.35</v>
      </c>
      <c r="J7" s="188"/>
      <c r="K7" s="188"/>
      <c r="L7" s="188">
        <v>20.81</v>
      </c>
      <c r="M7" s="188"/>
      <c r="N7" s="292">
        <v>9</v>
      </c>
      <c r="O7" s="188"/>
      <c r="P7" s="188">
        <v>10.5</v>
      </c>
      <c r="Q7" s="294">
        <v>17</v>
      </c>
      <c r="R7" s="287">
        <v>36</v>
      </c>
      <c r="S7" s="88">
        <f t="shared" si="0"/>
        <v>9</v>
      </c>
      <c r="T7" s="226" t="str" cm="1">
        <f t="array" ref="T7">_xlfn._xlws.FILTER(D$5:$R$5, D7:R7=MIN(D7:R7))</f>
        <v>vendor 11</v>
      </c>
    </row>
    <row r="8" spans="1:20">
      <c r="A8" s="312"/>
      <c r="B8" s="185" t="s">
        <v>273</v>
      </c>
      <c r="C8" s="187" t="s">
        <v>89</v>
      </c>
      <c r="D8" s="188"/>
      <c r="E8" s="188"/>
      <c r="F8" s="188"/>
      <c r="G8" s="188"/>
      <c r="H8" s="188"/>
      <c r="I8" s="188">
        <v>9.1999999999999993</v>
      </c>
      <c r="J8" s="188"/>
      <c r="K8" s="188"/>
      <c r="L8" s="292">
        <v>6.51</v>
      </c>
      <c r="M8" s="188"/>
      <c r="N8" s="188">
        <v>7</v>
      </c>
      <c r="O8" s="188"/>
      <c r="P8" s="188">
        <v>9.5</v>
      </c>
      <c r="Q8" s="294">
        <v>13</v>
      </c>
      <c r="R8" s="287">
        <v>24</v>
      </c>
      <c r="S8" s="88">
        <f t="shared" si="0"/>
        <v>6.51</v>
      </c>
      <c r="T8" s="226" t="str" cm="1">
        <f t="array" ref="T8">_xlfn._xlws.FILTER(D$5:$R$5, D8:R8=MIN(D8:R8))</f>
        <v>vendor 9</v>
      </c>
    </row>
    <row r="9" spans="1:20">
      <c r="A9" s="312"/>
      <c r="B9" s="185"/>
      <c r="C9" s="187" t="s">
        <v>91</v>
      </c>
      <c r="D9" s="188"/>
      <c r="E9" s="188"/>
      <c r="F9" s="188"/>
      <c r="G9" s="188"/>
      <c r="H9" s="188"/>
      <c r="I9" s="188">
        <v>6.9</v>
      </c>
      <c r="J9" s="188"/>
      <c r="K9" s="188"/>
      <c r="L9" s="292">
        <v>4.6399999999999997</v>
      </c>
      <c r="M9" s="188"/>
      <c r="N9" s="188">
        <v>5</v>
      </c>
      <c r="O9" s="188"/>
      <c r="P9" s="188">
        <v>7</v>
      </c>
      <c r="Q9" s="294">
        <v>10</v>
      </c>
      <c r="R9" s="287">
        <v>14.4</v>
      </c>
      <c r="S9" s="88">
        <f t="shared" si="0"/>
        <v>4.6399999999999997</v>
      </c>
      <c r="T9" s="226" t="str" cm="1">
        <f t="array" ref="T9">_xlfn._xlws.FILTER(D$5:$R$5, D9:R9=MIN(D9:R9))</f>
        <v>vendor 9</v>
      </c>
    </row>
    <row r="10" spans="1:20">
      <c r="A10" s="312"/>
      <c r="B10" s="185"/>
      <c r="C10" s="187" t="s">
        <v>258</v>
      </c>
      <c r="D10" s="188"/>
      <c r="E10" s="188"/>
      <c r="F10" s="188"/>
      <c r="G10" s="188"/>
      <c r="H10" s="188">
        <v>6.5</v>
      </c>
      <c r="I10" s="188">
        <v>5.75</v>
      </c>
      <c r="J10" s="188"/>
      <c r="K10" s="188"/>
      <c r="L10" s="292">
        <v>3.29</v>
      </c>
      <c r="M10" s="188"/>
      <c r="N10" s="188">
        <v>4.2</v>
      </c>
      <c r="O10" s="188"/>
      <c r="P10" s="188">
        <v>6</v>
      </c>
      <c r="Q10" s="294">
        <v>8</v>
      </c>
      <c r="R10" s="287">
        <v>12.8</v>
      </c>
      <c r="S10" s="88">
        <f t="shared" si="0"/>
        <v>3.29</v>
      </c>
      <c r="T10" s="226" t="str" cm="1">
        <f t="array" ref="T10">_xlfn._xlws.FILTER(D$5:$R$5, D10:R10=MIN(D10:R10))</f>
        <v>vendor 9</v>
      </c>
    </row>
    <row r="11" spans="1:20">
      <c r="A11" s="312"/>
      <c r="B11" s="185"/>
      <c r="C11" s="149" t="s">
        <v>99</v>
      </c>
      <c r="D11" s="188"/>
      <c r="E11" s="188"/>
      <c r="F11" s="188"/>
      <c r="G11" s="188"/>
      <c r="H11" s="188"/>
      <c r="I11" s="188">
        <v>5.75</v>
      </c>
      <c r="J11" s="188"/>
      <c r="K11" s="188"/>
      <c r="L11" s="292">
        <v>3.15</v>
      </c>
      <c r="M11" s="188"/>
      <c r="N11" s="188">
        <v>3.6</v>
      </c>
      <c r="O11" s="188"/>
      <c r="P11" s="188">
        <v>5.7</v>
      </c>
      <c r="Q11" s="294">
        <v>7</v>
      </c>
      <c r="R11" s="287">
        <v>8.4</v>
      </c>
      <c r="S11" s="88">
        <f t="shared" si="0"/>
        <v>3.15</v>
      </c>
      <c r="T11" s="226" t="str" cm="1">
        <f t="array" ref="T11">_xlfn._xlws.FILTER(D$5:$R$5, D11:R11=MIN(D11:R11))</f>
        <v>vendor 9</v>
      </c>
    </row>
    <row r="12" spans="1:20">
      <c r="A12" s="312"/>
      <c r="B12" s="185"/>
      <c r="C12" s="149" t="s">
        <v>255</v>
      </c>
      <c r="D12" s="188"/>
      <c r="E12" s="188"/>
      <c r="F12" s="188"/>
      <c r="G12" s="188"/>
      <c r="H12" s="188"/>
      <c r="I12" s="188">
        <v>3.45</v>
      </c>
      <c r="J12" s="188"/>
      <c r="K12" s="188"/>
      <c r="L12" s="292">
        <v>2.61</v>
      </c>
      <c r="M12" s="188"/>
      <c r="N12" s="188">
        <v>3.35</v>
      </c>
      <c r="O12" s="188"/>
      <c r="P12" s="188">
        <v>3.5</v>
      </c>
      <c r="Q12" s="294">
        <v>6</v>
      </c>
      <c r="R12" s="287">
        <v>7.2</v>
      </c>
      <c r="S12" s="88">
        <f t="shared" si="0"/>
        <v>2.61</v>
      </c>
      <c r="T12" s="226" t="str" cm="1">
        <f t="array" ref="T12">_xlfn._xlws.FILTER(D$5:$R$5, D12:R12=MIN(D12:R12))</f>
        <v>vendor 9</v>
      </c>
    </row>
    <row r="13" spans="1:20">
      <c r="A13" s="313"/>
      <c r="B13" s="185"/>
      <c r="C13" s="187" t="s">
        <v>261</v>
      </c>
      <c r="D13" s="188"/>
      <c r="E13" s="188"/>
      <c r="F13" s="188"/>
      <c r="G13" s="188"/>
      <c r="H13" s="188"/>
      <c r="I13" s="188">
        <v>3.17</v>
      </c>
      <c r="J13" s="188"/>
      <c r="K13" s="188"/>
      <c r="L13" s="292">
        <v>2.34</v>
      </c>
      <c r="M13" s="188"/>
      <c r="N13" s="294">
        <v>3</v>
      </c>
      <c r="O13" s="188"/>
      <c r="P13" s="188">
        <v>3.2</v>
      </c>
      <c r="Q13" s="294">
        <v>5</v>
      </c>
      <c r="R13" s="287">
        <v>6.35</v>
      </c>
      <c r="S13" s="88">
        <f t="shared" si="0"/>
        <v>2.34</v>
      </c>
      <c r="T13" s="226" t="str" cm="1">
        <f t="array" ref="T13">_xlfn._xlws.FILTER(D$5:$R$5, D13:R13=MIN(D13:R13))</f>
        <v>vendor 9</v>
      </c>
    </row>
    <row r="14" spans="1:20">
      <c r="A14" s="314">
        <v>45</v>
      </c>
      <c r="B14" s="157" t="s">
        <v>274</v>
      </c>
      <c r="C14" s="278">
        <v>5000</v>
      </c>
      <c r="D14" s="188"/>
      <c r="E14" s="188"/>
      <c r="F14" s="188"/>
      <c r="G14" s="188"/>
      <c r="H14" s="188"/>
      <c r="I14" s="188">
        <v>25.3</v>
      </c>
      <c r="J14" s="188"/>
      <c r="K14" s="188"/>
      <c r="L14" s="188">
        <v>27</v>
      </c>
      <c r="M14" s="188"/>
      <c r="N14" s="294">
        <v>167500</v>
      </c>
      <c r="O14" s="188"/>
      <c r="P14" s="188">
        <v>25.5</v>
      </c>
      <c r="Q14" s="298">
        <v>25</v>
      </c>
      <c r="R14" s="287">
        <v>26.5</v>
      </c>
      <c r="S14" s="88">
        <f t="shared" si="0"/>
        <v>25</v>
      </c>
      <c r="T14" s="226" t="str" cm="1">
        <f t="array" ref="T14">_xlfn._xlws.FILTER(D$5:$R$5, D14:R14=MIN(D14:R14))</f>
        <v>vendor 14</v>
      </c>
    </row>
    <row r="15" spans="1:20">
      <c r="A15" s="315"/>
      <c r="B15" s="184" t="s">
        <v>275</v>
      </c>
      <c r="C15" s="278">
        <v>10000</v>
      </c>
      <c r="D15" s="188"/>
      <c r="E15" s="188"/>
      <c r="F15" s="188"/>
      <c r="G15" s="188"/>
      <c r="H15" s="188">
        <v>35</v>
      </c>
      <c r="I15" s="188">
        <v>23</v>
      </c>
      <c r="J15" s="188"/>
      <c r="K15" s="188"/>
      <c r="L15" s="188">
        <v>26</v>
      </c>
      <c r="M15" s="188"/>
      <c r="N15" s="294">
        <v>32</v>
      </c>
      <c r="O15" s="188"/>
      <c r="P15" s="188">
        <v>23</v>
      </c>
      <c r="Q15" s="294">
        <v>24</v>
      </c>
      <c r="R15" s="293">
        <v>22.5</v>
      </c>
      <c r="S15" s="88">
        <f t="shared" si="0"/>
        <v>22.5</v>
      </c>
      <c r="T15" s="226" t="str" cm="1">
        <f t="array" ref="T15">_xlfn._xlws.FILTER(D$5:$R$5, D15:R15=MIN(D15:R15))</f>
        <v>vendor 15</v>
      </c>
    </row>
    <row r="16" spans="1:20">
      <c r="A16" s="315"/>
      <c r="B16" s="185" t="s">
        <v>276</v>
      </c>
      <c r="C16" s="278">
        <v>15000</v>
      </c>
      <c r="D16" s="188"/>
      <c r="E16" s="188"/>
      <c r="F16" s="188"/>
      <c r="G16" s="188"/>
      <c r="H16" s="188"/>
      <c r="I16" s="188">
        <v>21.85</v>
      </c>
      <c r="J16" s="188"/>
      <c r="K16" s="188"/>
      <c r="L16" s="188">
        <v>24</v>
      </c>
      <c r="M16" s="188"/>
      <c r="N16" s="294">
        <v>45</v>
      </c>
      <c r="O16" s="188"/>
      <c r="P16" s="188">
        <v>22</v>
      </c>
      <c r="Q16" s="294">
        <v>22</v>
      </c>
      <c r="R16" s="293">
        <v>21.6</v>
      </c>
      <c r="S16" s="88">
        <f t="shared" si="0"/>
        <v>21.6</v>
      </c>
      <c r="T16" s="226" t="str" cm="1">
        <f t="array" ref="T16">_xlfn._xlws.FILTER(D$5:$R$5, D16:R16=MIN(D16:R16))</f>
        <v>vendor 15</v>
      </c>
    </row>
    <row r="17" spans="1:20">
      <c r="A17" s="316"/>
      <c r="B17" s="185"/>
      <c r="C17" s="278">
        <v>20000</v>
      </c>
      <c r="D17" s="188"/>
      <c r="E17" s="188"/>
      <c r="F17" s="188"/>
      <c r="G17" s="188"/>
      <c r="H17" s="188"/>
      <c r="I17" s="188">
        <v>20.7</v>
      </c>
      <c r="J17" s="188"/>
      <c r="K17" s="188"/>
      <c r="L17" s="188">
        <v>22</v>
      </c>
      <c r="M17" s="188"/>
      <c r="N17" s="294">
        <v>53</v>
      </c>
      <c r="O17" s="188"/>
      <c r="P17" s="188">
        <v>21</v>
      </c>
      <c r="Q17" s="294">
        <v>20</v>
      </c>
      <c r="R17" s="293">
        <v>19.899999999999999</v>
      </c>
      <c r="S17" s="88">
        <f t="shared" si="0"/>
        <v>19.899999999999999</v>
      </c>
      <c r="T17" s="226" t="str" cm="1">
        <f t="array" ref="T17">_xlfn._xlws.FILTER(D$5:$R$5, D17:R17=MIN(D17:R17))</f>
        <v>vendor 15</v>
      </c>
    </row>
    <row r="18" spans="1:20">
      <c r="A18" s="317">
        <v>46</v>
      </c>
      <c r="B18" s="295" t="s">
        <v>277</v>
      </c>
      <c r="C18" s="287" t="s">
        <v>278</v>
      </c>
      <c r="D18" s="188"/>
      <c r="E18" s="188"/>
      <c r="F18" s="188"/>
      <c r="G18" s="188"/>
      <c r="H18" s="188"/>
      <c r="I18" s="188">
        <v>34.5</v>
      </c>
      <c r="J18" s="188"/>
      <c r="K18" s="292">
        <v>30</v>
      </c>
      <c r="L18" s="188">
        <v>35.799999999999997</v>
      </c>
      <c r="M18" s="188"/>
      <c r="N18" s="188">
        <v>50</v>
      </c>
      <c r="O18" s="188"/>
      <c r="P18" s="188">
        <v>35</v>
      </c>
      <c r="Q18" s="294">
        <v>38</v>
      </c>
      <c r="R18" s="287">
        <v>33</v>
      </c>
      <c r="S18" s="88">
        <f t="shared" si="0"/>
        <v>30</v>
      </c>
      <c r="T18" s="226" t="str" cm="1">
        <f t="array" ref="T18">_xlfn._xlws.FILTER(D$5:$R$5, D18:R18=MIN(D18:R18))</f>
        <v>vendor 8</v>
      </c>
    </row>
    <row r="19" spans="1:20">
      <c r="A19" s="318"/>
      <c r="B19" s="296" t="s">
        <v>279</v>
      </c>
      <c r="C19" s="287" t="s">
        <v>91</v>
      </c>
      <c r="D19" s="188"/>
      <c r="E19" s="188"/>
      <c r="F19" s="188"/>
      <c r="G19" s="188"/>
      <c r="H19" s="188"/>
      <c r="I19" s="188">
        <v>32.200000000000003</v>
      </c>
      <c r="J19" s="188"/>
      <c r="K19" s="188">
        <v>28</v>
      </c>
      <c r="L19" s="292">
        <v>21.5</v>
      </c>
      <c r="M19" s="188"/>
      <c r="N19" s="188">
        <v>35</v>
      </c>
      <c r="O19" s="188"/>
      <c r="P19" s="188">
        <v>33</v>
      </c>
      <c r="Q19" s="294">
        <v>34</v>
      </c>
      <c r="R19" s="287">
        <v>33</v>
      </c>
      <c r="S19" s="88">
        <f t="shared" si="0"/>
        <v>21.5</v>
      </c>
      <c r="T19" s="226" t="str" cm="1">
        <f t="array" ref="T19">_xlfn._xlws.FILTER(D$5:$R$5, D19:R19=MIN(D19:R19))</f>
        <v>vendor 9</v>
      </c>
    </row>
    <row r="20" spans="1:20">
      <c r="A20" s="318"/>
      <c r="B20" s="296" t="s">
        <v>280</v>
      </c>
      <c r="C20" s="287" t="s">
        <v>246</v>
      </c>
      <c r="D20" s="188"/>
      <c r="E20" s="188"/>
      <c r="F20" s="188"/>
      <c r="G20" s="188"/>
      <c r="H20" s="188"/>
      <c r="I20" s="188">
        <v>32.200000000000003</v>
      </c>
      <c r="J20" s="188"/>
      <c r="K20" s="188">
        <v>25</v>
      </c>
      <c r="L20" s="292">
        <v>16.739999999999998</v>
      </c>
      <c r="M20" s="188"/>
      <c r="N20" s="188">
        <v>30</v>
      </c>
      <c r="O20" s="188"/>
      <c r="P20" s="188">
        <v>33</v>
      </c>
      <c r="Q20" s="294">
        <v>32</v>
      </c>
      <c r="R20" s="287">
        <v>32</v>
      </c>
      <c r="S20" s="88">
        <f t="shared" si="0"/>
        <v>16.739999999999998</v>
      </c>
      <c r="T20" s="226" t="str" cm="1">
        <f t="array" ref="T20">_xlfn._xlws.FILTER(D$5:$R$5, D20:R20=MIN(D20:R20))</f>
        <v>vendor 9</v>
      </c>
    </row>
    <row r="21" spans="1:20">
      <c r="A21" s="318"/>
      <c r="B21" s="296" t="s">
        <v>281</v>
      </c>
      <c r="C21" s="287" t="s">
        <v>95</v>
      </c>
      <c r="D21" s="188"/>
      <c r="E21" s="188"/>
      <c r="F21" s="188"/>
      <c r="G21" s="188"/>
      <c r="H21" s="188">
        <v>24.5</v>
      </c>
      <c r="I21" s="188">
        <v>28.75</v>
      </c>
      <c r="J21" s="188"/>
      <c r="K21" s="188">
        <v>23</v>
      </c>
      <c r="L21" s="292">
        <v>14.98</v>
      </c>
      <c r="M21" s="188"/>
      <c r="N21" s="188">
        <v>25</v>
      </c>
      <c r="O21" s="188"/>
      <c r="P21" s="188">
        <v>29</v>
      </c>
      <c r="Q21" s="294">
        <v>30</v>
      </c>
      <c r="R21" s="287">
        <v>31</v>
      </c>
      <c r="S21" s="88">
        <f t="shared" si="0"/>
        <v>14.98</v>
      </c>
      <c r="T21" s="226" t="str" cm="1">
        <f t="array" ref="T21">_xlfn._xlws.FILTER(D$5:$R$5, D21:R21=MIN(D21:R21))</f>
        <v>vendor 9</v>
      </c>
    </row>
    <row r="22" spans="1:20">
      <c r="A22" s="319"/>
      <c r="B22" s="289"/>
      <c r="C22" s="287" t="s">
        <v>282</v>
      </c>
      <c r="D22" s="188"/>
      <c r="E22" s="188"/>
      <c r="F22" s="188"/>
      <c r="G22" s="188"/>
      <c r="H22" s="188"/>
      <c r="I22" s="188">
        <v>28.75</v>
      </c>
      <c r="J22" s="188"/>
      <c r="K22" s="188">
        <v>20</v>
      </c>
      <c r="L22" s="292">
        <v>12.24</v>
      </c>
      <c r="M22" s="188"/>
      <c r="N22" s="188">
        <v>20</v>
      </c>
      <c r="O22" s="188"/>
      <c r="P22" s="188">
        <v>29</v>
      </c>
      <c r="Q22" s="294">
        <v>28</v>
      </c>
      <c r="R22" s="287">
        <v>30</v>
      </c>
      <c r="S22" s="88">
        <f t="shared" si="0"/>
        <v>12.24</v>
      </c>
      <c r="T22" s="226" t="str" cm="1">
        <f t="array" ref="T22">_xlfn._xlws.FILTER(D$5:$R$5, D22:R22=MIN(D22:R22))</f>
        <v>vendor 9</v>
      </c>
    </row>
    <row r="23" spans="1:20">
      <c r="A23" s="320">
        <v>47</v>
      </c>
      <c r="B23" s="161" t="s">
        <v>283</v>
      </c>
      <c r="C23" s="187"/>
      <c r="D23" s="138">
        <v>100</v>
      </c>
      <c r="E23" s="141">
        <v>45</v>
      </c>
      <c r="F23" s="138"/>
      <c r="G23" s="138">
        <v>50</v>
      </c>
      <c r="H23" s="138"/>
      <c r="I23" s="138">
        <v>51.75</v>
      </c>
      <c r="J23" s="138"/>
      <c r="K23" s="138">
        <v>85</v>
      </c>
      <c r="L23" s="138">
        <v>60</v>
      </c>
      <c r="M23" s="138">
        <v>70</v>
      </c>
      <c r="N23" s="138">
        <v>80</v>
      </c>
      <c r="O23" s="138"/>
      <c r="P23" s="138">
        <v>52</v>
      </c>
      <c r="Q23" s="138">
        <v>50</v>
      </c>
      <c r="R23" s="190">
        <v>48</v>
      </c>
      <c r="S23" s="88">
        <f t="shared" si="0"/>
        <v>45</v>
      </c>
      <c r="T23" s="226" t="s">
        <v>63</v>
      </c>
    </row>
    <row r="24" spans="1:20">
      <c r="A24" s="312"/>
      <c r="B24" s="138" t="s">
        <v>284</v>
      </c>
      <c r="C24" s="187"/>
      <c r="D24" s="138">
        <v>100</v>
      </c>
      <c r="E24" s="138">
        <v>47</v>
      </c>
      <c r="F24" s="138"/>
      <c r="G24" s="138">
        <v>50</v>
      </c>
      <c r="H24" s="138"/>
      <c r="I24" s="138">
        <v>55.2</v>
      </c>
      <c r="J24" s="138"/>
      <c r="K24" s="138">
        <v>85</v>
      </c>
      <c r="L24" s="141">
        <v>45</v>
      </c>
      <c r="M24" s="138">
        <v>80</v>
      </c>
      <c r="N24" s="138">
        <v>90</v>
      </c>
      <c r="O24" s="138"/>
      <c r="P24" s="138">
        <v>56</v>
      </c>
      <c r="Q24" s="138">
        <v>52</v>
      </c>
      <c r="R24" s="190">
        <v>53</v>
      </c>
      <c r="S24" s="88">
        <f t="shared" si="0"/>
        <v>45</v>
      </c>
      <c r="T24" s="226" t="s">
        <v>63</v>
      </c>
    </row>
    <row r="25" spans="1:20">
      <c r="A25" s="313"/>
      <c r="B25" s="138" t="s">
        <v>285</v>
      </c>
      <c r="C25" s="187"/>
      <c r="D25" s="138"/>
      <c r="E25" s="141">
        <v>50</v>
      </c>
      <c r="F25" s="138"/>
      <c r="G25" s="138">
        <v>60</v>
      </c>
      <c r="H25" s="138"/>
      <c r="I25" s="138">
        <v>63.25</v>
      </c>
      <c r="J25" s="138"/>
      <c r="K25" s="138">
        <v>85</v>
      </c>
      <c r="L25" s="138"/>
      <c r="M25" s="138">
        <v>90</v>
      </c>
      <c r="N25" s="138">
        <v>100</v>
      </c>
      <c r="O25" s="138"/>
      <c r="P25" s="138">
        <v>65</v>
      </c>
      <c r="Q25" s="138">
        <v>55</v>
      </c>
      <c r="R25" s="190">
        <v>58</v>
      </c>
      <c r="S25" s="88">
        <f t="shared" si="0"/>
        <v>50</v>
      </c>
      <c r="T25" s="226" t="s">
        <v>63</v>
      </c>
    </row>
    <row r="26" spans="1:20">
      <c r="A26" s="320">
        <v>48</v>
      </c>
      <c r="B26" s="138" t="s">
        <v>286</v>
      </c>
      <c r="C26" s="187"/>
      <c r="D26" s="138">
        <v>100</v>
      </c>
      <c r="E26" s="141">
        <v>45</v>
      </c>
      <c r="F26" s="138"/>
      <c r="G26" s="138">
        <v>60</v>
      </c>
      <c r="H26" s="138"/>
      <c r="I26" s="138">
        <v>55.2</v>
      </c>
      <c r="J26" s="138"/>
      <c r="K26" s="138">
        <v>90</v>
      </c>
      <c r="L26" s="138">
        <v>65</v>
      </c>
      <c r="M26" s="138">
        <v>70</v>
      </c>
      <c r="N26" s="138">
        <v>85</v>
      </c>
      <c r="O26" s="138"/>
      <c r="P26" s="138">
        <v>56</v>
      </c>
      <c r="Q26" s="138">
        <v>60</v>
      </c>
      <c r="R26" s="190">
        <v>50</v>
      </c>
      <c r="S26" s="88">
        <f t="shared" si="0"/>
        <v>45</v>
      </c>
      <c r="T26" s="226" t="s">
        <v>63</v>
      </c>
    </row>
    <row r="27" spans="1:20">
      <c r="A27" s="312"/>
      <c r="B27" s="138" t="s">
        <v>287</v>
      </c>
      <c r="C27" s="187"/>
      <c r="D27" s="138">
        <v>100</v>
      </c>
      <c r="E27" s="141">
        <v>47</v>
      </c>
      <c r="F27" s="138"/>
      <c r="G27" s="138">
        <v>60</v>
      </c>
      <c r="H27" s="138"/>
      <c r="I27" s="138">
        <v>59.8</v>
      </c>
      <c r="J27" s="138"/>
      <c r="K27" s="138">
        <v>90</v>
      </c>
      <c r="L27" s="138">
        <v>50</v>
      </c>
      <c r="M27" s="138">
        <v>80</v>
      </c>
      <c r="N27" s="138">
        <v>95</v>
      </c>
      <c r="O27" s="138"/>
      <c r="P27" s="138">
        <v>60</v>
      </c>
      <c r="Q27" s="138">
        <v>64</v>
      </c>
      <c r="R27" s="190">
        <v>54</v>
      </c>
      <c r="S27" s="88">
        <f t="shared" si="0"/>
        <v>47</v>
      </c>
      <c r="T27" s="226" t="s">
        <v>63</v>
      </c>
    </row>
    <row r="28" spans="1:20">
      <c r="A28" s="312"/>
      <c r="B28" s="157" t="s">
        <v>288</v>
      </c>
      <c r="C28" s="187"/>
      <c r="D28" s="138"/>
      <c r="E28" s="141">
        <v>50</v>
      </c>
      <c r="F28" s="138"/>
      <c r="G28" s="138">
        <v>70</v>
      </c>
      <c r="H28" s="138"/>
      <c r="I28" s="138">
        <v>66.7</v>
      </c>
      <c r="J28" s="138"/>
      <c r="K28" s="138">
        <v>90</v>
      </c>
      <c r="L28" s="138"/>
      <c r="M28" s="138">
        <v>90</v>
      </c>
      <c r="N28" s="138">
        <v>105</v>
      </c>
      <c r="O28" s="138"/>
      <c r="P28" s="138">
        <v>67</v>
      </c>
      <c r="Q28" s="138">
        <v>70</v>
      </c>
      <c r="R28" s="190">
        <v>59</v>
      </c>
      <c r="S28" s="88">
        <f t="shared" si="0"/>
        <v>50</v>
      </c>
      <c r="T28" s="226" t="s">
        <v>63</v>
      </c>
    </row>
    <row r="29" spans="1:20">
      <c r="A29" s="191">
        <v>49</v>
      </c>
      <c r="B29" s="156" t="s">
        <v>289</v>
      </c>
      <c r="C29" s="282" t="s">
        <v>176</v>
      </c>
      <c r="D29" s="138"/>
      <c r="E29" s="138"/>
      <c r="F29" s="138"/>
      <c r="G29" s="138"/>
      <c r="H29" s="138"/>
      <c r="I29" s="138">
        <v>115</v>
      </c>
      <c r="J29" s="138"/>
      <c r="K29" s="138"/>
      <c r="L29" s="141">
        <v>110</v>
      </c>
      <c r="M29" s="138">
        <v>210</v>
      </c>
      <c r="N29" s="138">
        <v>252</v>
      </c>
      <c r="O29" s="138"/>
      <c r="P29" s="138">
        <v>115</v>
      </c>
      <c r="Q29" s="138">
        <v>150</v>
      </c>
      <c r="R29" s="189">
        <v>190</v>
      </c>
      <c r="S29" s="88">
        <f t="shared" si="0"/>
        <v>110</v>
      </c>
      <c r="T29" s="226" t="s">
        <v>63</v>
      </c>
    </row>
    <row r="30" spans="1:20">
      <c r="A30" s="192"/>
      <c r="B30" s="186" t="s">
        <v>290</v>
      </c>
      <c r="C30" s="277" t="s">
        <v>291</v>
      </c>
      <c r="D30" s="138"/>
      <c r="E30" s="138"/>
      <c r="F30" s="138"/>
      <c r="G30" s="138"/>
      <c r="H30" s="138">
        <v>190</v>
      </c>
      <c r="I30" s="138">
        <v>111.55</v>
      </c>
      <c r="J30" s="138"/>
      <c r="K30" s="138"/>
      <c r="L30" s="141">
        <v>108</v>
      </c>
      <c r="M30" s="138">
        <v>210</v>
      </c>
      <c r="N30" s="138">
        <v>240</v>
      </c>
      <c r="O30" s="138"/>
      <c r="P30" s="138">
        <v>110</v>
      </c>
      <c r="Q30" s="138">
        <v>140</v>
      </c>
      <c r="R30" s="187">
        <v>190</v>
      </c>
      <c r="S30" s="88">
        <f t="shared" si="0"/>
        <v>108</v>
      </c>
      <c r="T30" s="226" t="str" cm="1">
        <f t="array" ref="T30">_xlfn._xlws.FILTER(D$5:$R$5, D30:R30=MIN(D30:R30))</f>
        <v>vendor 9</v>
      </c>
    </row>
    <row r="31" spans="1:20">
      <c r="A31" s="192"/>
      <c r="B31" s="186" t="s">
        <v>292</v>
      </c>
      <c r="C31" s="187" t="s">
        <v>191</v>
      </c>
      <c r="D31" s="138"/>
      <c r="E31" s="138"/>
      <c r="F31" s="138"/>
      <c r="G31" s="138"/>
      <c r="H31" s="138"/>
      <c r="I31" s="138">
        <v>109.25</v>
      </c>
      <c r="J31" s="138"/>
      <c r="K31" s="138"/>
      <c r="L31" s="141">
        <v>106</v>
      </c>
      <c r="M31" s="138">
        <v>180</v>
      </c>
      <c r="N31" s="138">
        <v>228</v>
      </c>
      <c r="O31" s="138"/>
      <c r="P31" s="138">
        <v>110</v>
      </c>
      <c r="Q31" s="138">
        <v>130</v>
      </c>
      <c r="R31" s="187">
        <v>175</v>
      </c>
      <c r="S31" s="88">
        <f t="shared" si="0"/>
        <v>106</v>
      </c>
      <c r="T31" s="226" t="str" cm="1">
        <f t="array" ref="T31">_xlfn._xlws.FILTER(D$5:$R$5, D31:R31=MIN(D31:R31))</f>
        <v>vendor 9</v>
      </c>
    </row>
    <row r="32" spans="1:20">
      <c r="A32" s="192"/>
      <c r="B32" s="186" t="s">
        <v>293</v>
      </c>
      <c r="C32" s="187" t="s">
        <v>294</v>
      </c>
      <c r="D32" s="138"/>
      <c r="E32" s="138"/>
      <c r="F32" s="138"/>
      <c r="G32" s="138"/>
      <c r="H32" s="138"/>
      <c r="I32" s="138">
        <v>105.8</v>
      </c>
      <c r="J32" s="138"/>
      <c r="K32" s="138"/>
      <c r="L32" s="141">
        <v>104</v>
      </c>
      <c r="M32" s="138">
        <v>150</v>
      </c>
      <c r="N32" s="138">
        <v>216</v>
      </c>
      <c r="O32" s="138"/>
      <c r="P32" s="138">
        <v>108</v>
      </c>
      <c r="Q32" s="138">
        <v>120</v>
      </c>
      <c r="R32" s="187">
        <v>168</v>
      </c>
      <c r="S32" s="88">
        <f t="shared" si="0"/>
        <v>104</v>
      </c>
      <c r="T32" s="226" t="str" cm="1">
        <f t="array" ref="T32">_xlfn._xlws.FILTER(D$5:$R$5, D32:R32=MIN(D32:R32))</f>
        <v>vendor 9</v>
      </c>
    </row>
    <row r="33" spans="1:22">
      <c r="A33" s="192"/>
      <c r="B33" s="186"/>
      <c r="C33" s="187" t="s">
        <v>295</v>
      </c>
      <c r="D33" s="138"/>
      <c r="E33" s="138"/>
      <c r="F33" s="138"/>
      <c r="G33" s="138"/>
      <c r="H33" s="138"/>
      <c r="I33" s="138">
        <v>103.5</v>
      </c>
      <c r="J33" s="138"/>
      <c r="K33" s="138"/>
      <c r="L33" s="141">
        <v>102</v>
      </c>
      <c r="M33" s="138">
        <v>120</v>
      </c>
      <c r="N33" s="138">
        <v>204</v>
      </c>
      <c r="O33" s="138"/>
      <c r="P33" s="138">
        <v>105</v>
      </c>
      <c r="Q33" s="138">
        <v>105</v>
      </c>
      <c r="R33" s="187">
        <v>128</v>
      </c>
      <c r="S33" s="88">
        <f t="shared" si="0"/>
        <v>102</v>
      </c>
      <c r="T33" s="226" t="str" cm="1">
        <f t="array" ref="T33">_xlfn._xlws.FILTER(D$5:$R$5, D33:R33=MIN(D33:R33))</f>
        <v>vendor 9</v>
      </c>
    </row>
    <row r="34" spans="1:22">
      <c r="A34" s="193">
        <v>50</v>
      </c>
      <c r="B34" s="157" t="s">
        <v>296</v>
      </c>
      <c r="C34" s="282" t="s">
        <v>176</v>
      </c>
      <c r="D34" s="138"/>
      <c r="E34" s="138"/>
      <c r="F34" s="138"/>
      <c r="G34" s="138"/>
      <c r="H34" s="138"/>
      <c r="I34" s="138">
        <v>115</v>
      </c>
      <c r="J34" s="138"/>
      <c r="K34" s="138"/>
      <c r="L34" s="141">
        <v>40</v>
      </c>
      <c r="M34" s="141">
        <v>50</v>
      </c>
      <c r="N34" s="138">
        <v>180</v>
      </c>
      <c r="O34" s="138"/>
      <c r="P34" s="138">
        <v>115</v>
      </c>
      <c r="Q34" s="138"/>
      <c r="R34" s="189">
        <v>130</v>
      </c>
      <c r="S34" s="88">
        <f t="shared" si="0"/>
        <v>40</v>
      </c>
      <c r="T34" s="226" t="str" cm="1">
        <f t="array" ref="T34">_xlfn._xlws.FILTER(D$5:$R$5, D34:R34=MIN(D34:R34))</f>
        <v>vendor 9</v>
      </c>
    </row>
    <row r="35" spans="1:22">
      <c r="A35" s="194"/>
      <c r="B35" s="185"/>
      <c r="C35" s="277" t="s">
        <v>291</v>
      </c>
      <c r="D35" s="138"/>
      <c r="E35" s="138"/>
      <c r="F35" s="138"/>
      <c r="G35" s="138"/>
      <c r="H35" s="138"/>
      <c r="I35" s="138">
        <v>109.25</v>
      </c>
      <c r="J35" s="138"/>
      <c r="K35" s="138"/>
      <c r="L35" s="141">
        <v>39</v>
      </c>
      <c r="M35" s="138">
        <v>45</v>
      </c>
      <c r="N35" s="138">
        <v>160</v>
      </c>
      <c r="O35" s="138"/>
      <c r="P35" s="138">
        <v>110</v>
      </c>
      <c r="Q35" s="138"/>
      <c r="R35" s="187">
        <v>135</v>
      </c>
      <c r="S35" s="88">
        <f t="shared" si="0"/>
        <v>39</v>
      </c>
      <c r="T35" s="226" t="str" cm="1">
        <f t="array" ref="T35">_xlfn._xlws.FILTER(D$5:$R$5, D35:R35=MIN(D35:R35))</f>
        <v>vendor 9</v>
      </c>
    </row>
    <row r="36" spans="1:22">
      <c r="A36" s="194">
        <v>50.1</v>
      </c>
      <c r="B36" s="157" t="s">
        <v>297</v>
      </c>
      <c r="C36" s="282" t="s">
        <v>176</v>
      </c>
      <c r="D36" s="138"/>
      <c r="E36" s="138"/>
      <c r="F36" s="138"/>
      <c r="G36" s="138"/>
      <c r="H36" s="138"/>
      <c r="I36" s="138">
        <v>103.5</v>
      </c>
      <c r="J36" s="138"/>
      <c r="K36" s="138"/>
      <c r="L36" s="138">
        <v>30</v>
      </c>
      <c r="M36" s="141">
        <v>25</v>
      </c>
      <c r="N36" s="138">
        <v>100</v>
      </c>
      <c r="O36" s="138"/>
      <c r="P36" s="138">
        <v>105</v>
      </c>
      <c r="Q36" s="138"/>
      <c r="R36" s="189">
        <v>98</v>
      </c>
      <c r="S36" s="88">
        <f t="shared" si="0"/>
        <v>25</v>
      </c>
      <c r="T36" s="226" t="str" cm="1">
        <f t="array" ref="T36">_xlfn._xlws.FILTER(D$5:$R$5, D36:R36=MIN(D36:R36))</f>
        <v>vendor 10</v>
      </c>
    </row>
    <row r="37" spans="1:22">
      <c r="A37" s="194"/>
      <c r="B37" s="185"/>
      <c r="C37" s="277" t="s">
        <v>291</v>
      </c>
      <c r="D37" s="138"/>
      <c r="E37" s="138"/>
      <c r="F37" s="138"/>
      <c r="G37" s="138"/>
      <c r="H37" s="138"/>
      <c r="I37" s="138">
        <v>97.75</v>
      </c>
      <c r="J37" s="138"/>
      <c r="K37" s="138"/>
      <c r="L37" s="138">
        <v>29</v>
      </c>
      <c r="M37" s="141">
        <v>25</v>
      </c>
      <c r="N37" s="138">
        <v>90</v>
      </c>
      <c r="O37" s="138"/>
      <c r="P37" s="138">
        <v>98</v>
      </c>
      <c r="Q37" s="138"/>
      <c r="R37" s="187" t="s">
        <v>298</v>
      </c>
      <c r="S37" s="88">
        <f t="shared" si="0"/>
        <v>25</v>
      </c>
      <c r="T37" s="226" t="str" cm="1">
        <f t="array" ref="T37">_xlfn._xlws.FILTER(D$5:$R$5, D37:R37=MIN(D37:R37))</f>
        <v>vendor 10</v>
      </c>
    </row>
    <row r="38" spans="1:22" s="174" customFormat="1" ht="71.099999999999994">
      <c r="A38" s="195">
        <v>51</v>
      </c>
      <c r="B38" s="196" t="s">
        <v>299</v>
      </c>
      <c r="C38" s="282" t="s">
        <v>176</v>
      </c>
      <c r="D38" s="138"/>
      <c r="E38" s="138"/>
      <c r="F38" s="141">
        <v>990</v>
      </c>
      <c r="G38" s="138"/>
      <c r="H38" s="138"/>
      <c r="I38" s="138"/>
      <c r="J38" s="138">
        <v>1270</v>
      </c>
      <c r="K38" s="138"/>
      <c r="L38" s="138">
        <v>1350</v>
      </c>
      <c r="M38" s="138"/>
      <c r="N38" s="138"/>
      <c r="O38" s="138">
        <v>1380</v>
      </c>
      <c r="P38" s="138"/>
      <c r="Q38" s="138">
        <v>1450</v>
      </c>
      <c r="R38" s="187">
        <v>2560</v>
      </c>
      <c r="S38" s="88">
        <f t="shared" si="0"/>
        <v>990</v>
      </c>
      <c r="T38" s="226" t="str" cm="1">
        <f t="array" ref="T38">_xlfn._xlws.FILTER(D$5:$R$5, D38:R38=MIN(D38:R38))</f>
        <v>vendor 3</v>
      </c>
      <c r="U38" s="137"/>
      <c r="V38" s="137"/>
    </row>
    <row r="39" spans="1:22" s="174" customFormat="1">
      <c r="A39" s="197"/>
      <c r="B39" s="160" t="s">
        <v>300</v>
      </c>
      <c r="C39" s="277" t="s">
        <v>291</v>
      </c>
      <c r="D39" s="138"/>
      <c r="E39" s="138"/>
      <c r="F39" s="141">
        <v>950</v>
      </c>
      <c r="G39" s="138"/>
      <c r="H39" s="138"/>
      <c r="I39" s="138"/>
      <c r="J39" s="138">
        <v>1270</v>
      </c>
      <c r="K39" s="138"/>
      <c r="L39" s="138">
        <v>1300</v>
      </c>
      <c r="M39" s="138"/>
      <c r="N39" s="138"/>
      <c r="O39" s="138">
        <v>1320</v>
      </c>
      <c r="P39" s="138"/>
      <c r="Q39" s="138">
        <v>1400</v>
      </c>
      <c r="R39" s="187" t="s">
        <v>301</v>
      </c>
      <c r="S39" s="88">
        <f t="shared" si="0"/>
        <v>950</v>
      </c>
      <c r="T39" s="226" t="str" cm="1">
        <f t="array" ref="T39">_xlfn._xlws.FILTER(D$5:$R$5, D39:R39=MIN(D39:R39))</f>
        <v>vendor 3</v>
      </c>
      <c r="U39" s="137"/>
      <c r="V39" s="137"/>
    </row>
    <row r="40" spans="1:22" s="174" customFormat="1">
      <c r="A40" s="197"/>
      <c r="B40" s="160" t="s">
        <v>302</v>
      </c>
      <c r="C40" s="187" t="s">
        <v>303</v>
      </c>
      <c r="D40" s="138"/>
      <c r="E40" s="138"/>
      <c r="F40" s="141">
        <v>900</v>
      </c>
      <c r="G40" s="138"/>
      <c r="H40" s="138"/>
      <c r="I40" s="138"/>
      <c r="J40" s="138">
        <v>1200</v>
      </c>
      <c r="K40" s="138"/>
      <c r="L40" s="138">
        <v>1250</v>
      </c>
      <c r="M40" s="138"/>
      <c r="N40" s="138"/>
      <c r="O40" s="138">
        <v>1280</v>
      </c>
      <c r="P40" s="138"/>
      <c r="Q40" s="138">
        <v>1350</v>
      </c>
      <c r="R40" s="187" t="s">
        <v>304</v>
      </c>
      <c r="S40" s="88">
        <f t="shared" si="0"/>
        <v>900</v>
      </c>
      <c r="T40" s="226" t="str" cm="1">
        <f t="array" ref="T40">_xlfn._xlws.FILTER(D$5:$R$5, D40:R40=MIN(D40:R40))</f>
        <v>vendor 3</v>
      </c>
      <c r="U40" s="137"/>
      <c r="V40" s="137"/>
    </row>
    <row r="41" spans="1:22" s="174" customFormat="1" ht="41.1" customHeight="1">
      <c r="A41" s="198">
        <v>52</v>
      </c>
      <c r="B41" s="199" t="s">
        <v>305</v>
      </c>
      <c r="C41" s="187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87"/>
      <c r="S41" s="88"/>
      <c r="T41" s="226"/>
      <c r="U41" s="137"/>
      <c r="V41" s="137"/>
    </row>
    <row r="42" spans="1:22" s="174" customFormat="1">
      <c r="A42" s="200"/>
      <c r="B42" s="201"/>
      <c r="C42" s="282" t="s">
        <v>176</v>
      </c>
      <c r="D42" s="138"/>
      <c r="E42" s="138"/>
      <c r="F42" s="141">
        <v>1350</v>
      </c>
      <c r="G42" s="138"/>
      <c r="H42" s="138"/>
      <c r="I42" s="138"/>
      <c r="J42" s="138">
        <v>1620</v>
      </c>
      <c r="K42" s="138"/>
      <c r="L42" s="138">
        <v>1600</v>
      </c>
      <c r="M42" s="138"/>
      <c r="N42" s="138"/>
      <c r="O42" s="138">
        <v>1500</v>
      </c>
      <c r="P42" s="138"/>
      <c r="Q42" s="138">
        <v>1850</v>
      </c>
      <c r="R42" s="187" t="s">
        <v>306</v>
      </c>
      <c r="S42" s="88">
        <f t="shared" ref="S42:S62" si="1">MIN(D42:R42)</f>
        <v>1350</v>
      </c>
      <c r="T42" s="226" t="str" cm="1">
        <f t="array" ref="T42">_xlfn._xlws.FILTER(D$5:$R$5, D42:R42=MIN(D42:R42))</f>
        <v>vendor 3</v>
      </c>
      <c r="U42" s="137"/>
      <c r="V42" s="137"/>
    </row>
    <row r="43" spans="1:22" s="174" customFormat="1">
      <c r="A43" s="200"/>
      <c r="B43" s="201" t="s">
        <v>307</v>
      </c>
      <c r="C43" s="277" t="s">
        <v>291</v>
      </c>
      <c r="D43" s="138"/>
      <c r="E43" s="138"/>
      <c r="F43" s="141">
        <v>1300</v>
      </c>
      <c r="G43" s="138"/>
      <c r="H43" s="138"/>
      <c r="I43" s="138"/>
      <c r="J43" s="138">
        <v>1590</v>
      </c>
      <c r="K43" s="138"/>
      <c r="L43" s="138">
        <v>1550</v>
      </c>
      <c r="M43" s="138"/>
      <c r="N43" s="138"/>
      <c r="O43" s="138">
        <v>1440</v>
      </c>
      <c r="P43" s="138"/>
      <c r="Q43" s="138">
        <v>1800</v>
      </c>
      <c r="R43" s="187" t="s">
        <v>308</v>
      </c>
      <c r="S43" s="88">
        <f t="shared" si="1"/>
        <v>1300</v>
      </c>
      <c r="T43" s="226" t="str" cm="1">
        <f t="array" ref="T43">_xlfn._xlws.FILTER(D$5:$R$5, D43:R43=MIN(D43:R43))</f>
        <v>vendor 3</v>
      </c>
      <c r="U43" s="137"/>
      <c r="V43" s="137"/>
    </row>
    <row r="44" spans="1:22" s="174" customFormat="1">
      <c r="A44" s="200"/>
      <c r="B44" s="201" t="s">
        <v>309</v>
      </c>
      <c r="C44" s="187" t="s">
        <v>310</v>
      </c>
      <c r="D44" s="138"/>
      <c r="E44" s="138"/>
      <c r="F44" s="141">
        <v>1250</v>
      </c>
      <c r="G44" s="138"/>
      <c r="H44" s="138"/>
      <c r="I44" s="138"/>
      <c r="J44" s="138">
        <v>1570</v>
      </c>
      <c r="K44" s="138"/>
      <c r="L44" s="138">
        <v>1500</v>
      </c>
      <c r="M44" s="138"/>
      <c r="N44" s="138"/>
      <c r="O44" s="138">
        <v>1400</v>
      </c>
      <c r="P44" s="138"/>
      <c r="Q44" s="138">
        <v>1750</v>
      </c>
      <c r="R44" s="187" t="s">
        <v>311</v>
      </c>
      <c r="S44" s="88">
        <f t="shared" si="1"/>
        <v>1250</v>
      </c>
      <c r="T44" s="226" t="str" cm="1">
        <f t="array" ref="T44">_xlfn._xlws.FILTER(D$5:$R$5, D44:R44=MIN(D44:R44))</f>
        <v>vendor 3</v>
      </c>
      <c r="U44" s="137"/>
      <c r="V44" s="137"/>
    </row>
    <row r="45" spans="1:22" s="174" customFormat="1" ht="106.5">
      <c r="A45" s="198">
        <v>53</v>
      </c>
      <c r="B45" s="163" t="s">
        <v>312</v>
      </c>
      <c r="C45" s="282" t="s">
        <v>176</v>
      </c>
      <c r="D45" s="138"/>
      <c r="E45" s="138"/>
      <c r="F45" s="138">
        <v>1850</v>
      </c>
      <c r="G45" s="138"/>
      <c r="H45" s="138"/>
      <c r="I45" s="138"/>
      <c r="J45" s="138">
        <v>2500</v>
      </c>
      <c r="K45" s="138"/>
      <c r="L45" s="138">
        <v>2200</v>
      </c>
      <c r="M45" s="138"/>
      <c r="N45" s="138"/>
      <c r="O45" s="141">
        <v>1650</v>
      </c>
      <c r="P45" s="138"/>
      <c r="Q45" s="138">
        <v>2300</v>
      </c>
      <c r="R45" s="187">
        <v>3655</v>
      </c>
      <c r="S45" s="88">
        <f t="shared" si="1"/>
        <v>1650</v>
      </c>
      <c r="T45" s="226" t="str" cm="1">
        <f t="array" ref="T45">_xlfn._xlws.FILTER(D$5:$R$5, D45:R45=MIN(D45:R45))</f>
        <v>vendor 12</v>
      </c>
      <c r="U45" s="137"/>
      <c r="V45" s="137"/>
    </row>
    <row r="46" spans="1:22" s="174" customFormat="1">
      <c r="A46" s="200"/>
      <c r="B46" s="164" t="s">
        <v>307</v>
      </c>
      <c r="C46" s="277" t="s">
        <v>291</v>
      </c>
      <c r="D46" s="138"/>
      <c r="E46" s="138"/>
      <c r="F46" s="138">
        <v>1800</v>
      </c>
      <c r="G46" s="138"/>
      <c r="H46" s="138"/>
      <c r="I46" s="138"/>
      <c r="J46" s="138">
        <v>2100</v>
      </c>
      <c r="K46" s="138"/>
      <c r="L46" s="138">
        <v>2150</v>
      </c>
      <c r="M46" s="138"/>
      <c r="N46" s="138"/>
      <c r="O46" s="141">
        <v>1610</v>
      </c>
      <c r="P46" s="138"/>
      <c r="Q46" s="138">
        <v>2250</v>
      </c>
      <c r="R46" s="187">
        <v>3455</v>
      </c>
      <c r="S46" s="88">
        <f t="shared" si="1"/>
        <v>1610</v>
      </c>
      <c r="T46" s="226" t="str" cm="1">
        <f t="array" ref="T46">_xlfn._xlws.FILTER(D$5:$R$5, D46:R46=MIN(D46:R46))</f>
        <v>vendor 12</v>
      </c>
      <c r="U46" s="137"/>
    </row>
    <row r="47" spans="1:22" s="174" customFormat="1">
      <c r="A47" s="200"/>
      <c r="B47" s="164" t="s">
        <v>313</v>
      </c>
      <c r="C47" s="187" t="s">
        <v>310</v>
      </c>
      <c r="D47" s="138"/>
      <c r="E47" s="138"/>
      <c r="F47" s="138">
        <v>1750</v>
      </c>
      <c r="G47" s="138"/>
      <c r="H47" s="138"/>
      <c r="I47" s="138"/>
      <c r="J47" s="138">
        <v>2000</v>
      </c>
      <c r="K47" s="138"/>
      <c r="L47" s="138">
        <v>2100</v>
      </c>
      <c r="M47" s="138"/>
      <c r="N47" s="138"/>
      <c r="O47" s="141">
        <v>1560</v>
      </c>
      <c r="P47" s="138"/>
      <c r="Q47" s="138">
        <v>2200</v>
      </c>
      <c r="R47" s="187">
        <v>3355</v>
      </c>
      <c r="S47" s="88">
        <f t="shared" si="1"/>
        <v>1560</v>
      </c>
      <c r="T47" s="226" t="str" cm="1">
        <f t="array" ref="T47">_xlfn._xlws.FILTER(D$5:$R$5, D47:R47=MIN(D47:R47))</f>
        <v>vendor 12</v>
      </c>
      <c r="U47" s="137"/>
    </row>
    <row r="48" spans="1:22" s="174" customFormat="1" ht="106.5">
      <c r="A48" s="198">
        <v>54</v>
      </c>
      <c r="B48" s="163" t="s">
        <v>314</v>
      </c>
      <c r="C48" s="282" t="s">
        <v>176</v>
      </c>
      <c r="D48" s="138"/>
      <c r="E48" s="138"/>
      <c r="F48" s="138">
        <v>2450</v>
      </c>
      <c r="G48" s="138"/>
      <c r="H48" s="138"/>
      <c r="I48" s="138"/>
      <c r="J48" s="138">
        <v>2850</v>
      </c>
      <c r="K48" s="138"/>
      <c r="L48" s="138">
        <v>2700</v>
      </c>
      <c r="M48" s="138"/>
      <c r="N48" s="138"/>
      <c r="O48" s="141">
        <v>1800</v>
      </c>
      <c r="P48" s="138"/>
      <c r="Q48" s="138">
        <v>2800</v>
      </c>
      <c r="R48" s="187">
        <v>4350</v>
      </c>
      <c r="S48" s="88">
        <f t="shared" si="1"/>
        <v>1800</v>
      </c>
      <c r="T48" s="226" t="str" cm="1">
        <f t="array" ref="T48">_xlfn._xlws.FILTER(D$5:$R$5, D48:R48=MIN(D48:R48))</f>
        <v>vendor 12</v>
      </c>
      <c r="U48" s="137"/>
    </row>
    <row r="49" spans="1:21" s="174" customFormat="1">
      <c r="A49" s="200"/>
      <c r="B49" s="164" t="s">
        <v>307</v>
      </c>
      <c r="C49" s="277" t="s">
        <v>291</v>
      </c>
      <c r="D49" s="138"/>
      <c r="E49" s="138"/>
      <c r="F49" s="138">
        <v>2400</v>
      </c>
      <c r="G49" s="138"/>
      <c r="H49" s="138"/>
      <c r="I49" s="138"/>
      <c r="J49" s="138">
        <v>2650</v>
      </c>
      <c r="K49" s="138"/>
      <c r="L49" s="138">
        <v>2650</v>
      </c>
      <c r="M49" s="138"/>
      <c r="N49" s="138"/>
      <c r="O49" s="141">
        <v>1760</v>
      </c>
      <c r="P49" s="138"/>
      <c r="Q49" s="138">
        <v>2750</v>
      </c>
      <c r="R49" s="187">
        <v>4250</v>
      </c>
      <c r="S49" s="88">
        <f t="shared" si="1"/>
        <v>1760</v>
      </c>
      <c r="T49" s="226" t="str" cm="1">
        <f t="array" ref="T49">_xlfn._xlws.FILTER(D$5:$R$5, D49:R49=MIN(D49:R49))</f>
        <v>vendor 12</v>
      </c>
      <c r="U49" s="137"/>
    </row>
    <row r="50" spans="1:21" s="174" customFormat="1">
      <c r="A50" s="200"/>
      <c r="B50" s="164" t="s">
        <v>315</v>
      </c>
      <c r="C50" s="187" t="s">
        <v>303</v>
      </c>
      <c r="D50" s="138"/>
      <c r="E50" s="138"/>
      <c r="F50" s="138">
        <v>2350</v>
      </c>
      <c r="G50" s="138"/>
      <c r="H50" s="138"/>
      <c r="I50" s="138"/>
      <c r="J50" s="138">
        <v>2500</v>
      </c>
      <c r="K50" s="138"/>
      <c r="L50" s="138">
        <v>2600</v>
      </c>
      <c r="M50" s="138"/>
      <c r="N50" s="138"/>
      <c r="O50" s="141">
        <v>1720</v>
      </c>
      <c r="P50" s="138"/>
      <c r="Q50" s="138">
        <v>2700</v>
      </c>
      <c r="R50" s="187">
        <v>4150</v>
      </c>
      <c r="S50" s="88">
        <f t="shared" si="1"/>
        <v>1720</v>
      </c>
      <c r="T50" s="226" t="str" cm="1">
        <f t="array" ref="T50">_xlfn._xlws.FILTER(D$5:$R$5, D50:R50=MIN(D50:R50))</f>
        <v>vendor 12</v>
      </c>
      <c r="U50" s="137"/>
    </row>
    <row r="51" spans="1:21" s="174" customFormat="1" ht="106.5">
      <c r="A51" s="195">
        <v>55</v>
      </c>
      <c r="B51" s="163" t="s">
        <v>316</v>
      </c>
      <c r="C51" s="282" t="s">
        <v>176</v>
      </c>
      <c r="D51" s="138"/>
      <c r="E51" s="138"/>
      <c r="F51" s="141">
        <v>1450</v>
      </c>
      <c r="G51" s="138"/>
      <c r="H51" s="138"/>
      <c r="I51" s="138"/>
      <c r="J51" s="138">
        <v>2050</v>
      </c>
      <c r="K51" s="138"/>
      <c r="L51" s="138">
        <v>1900</v>
      </c>
      <c r="M51" s="138"/>
      <c r="N51" s="138"/>
      <c r="O51" s="138">
        <v>1800</v>
      </c>
      <c r="P51" s="138"/>
      <c r="Q51" s="138"/>
      <c r="R51" s="187">
        <v>2750</v>
      </c>
      <c r="S51" s="88">
        <f t="shared" si="1"/>
        <v>1450</v>
      </c>
      <c r="T51" s="226" t="str" cm="1">
        <f t="array" ref="T51">_xlfn._xlws.FILTER(D$5:$R$5, D51:R51=MIN(D51:R51))</f>
        <v>vendor 3</v>
      </c>
      <c r="U51" s="137"/>
    </row>
    <row r="52" spans="1:21" s="174" customFormat="1">
      <c r="A52" s="197"/>
      <c r="B52" s="164" t="s">
        <v>317</v>
      </c>
      <c r="C52" s="277" t="s">
        <v>291</v>
      </c>
      <c r="D52" s="138"/>
      <c r="E52" s="138"/>
      <c r="F52" s="141">
        <v>1400</v>
      </c>
      <c r="G52" s="138"/>
      <c r="H52" s="138"/>
      <c r="I52" s="138"/>
      <c r="J52" s="138">
        <v>2020</v>
      </c>
      <c r="K52" s="138"/>
      <c r="L52" s="138">
        <v>1850</v>
      </c>
      <c r="M52" s="138"/>
      <c r="N52" s="138"/>
      <c r="O52" s="138">
        <v>1760</v>
      </c>
      <c r="P52" s="138"/>
      <c r="Q52" s="138"/>
      <c r="R52" s="187">
        <v>2560</v>
      </c>
      <c r="S52" s="88">
        <f t="shared" si="1"/>
        <v>1400</v>
      </c>
      <c r="T52" s="226" t="str" cm="1">
        <f t="array" ref="T52">_xlfn._xlws.FILTER(D$5:$R$5, D52:R52=MIN(D52:R52))</f>
        <v>vendor 3</v>
      </c>
      <c r="U52" s="137"/>
    </row>
    <row r="53" spans="1:21" s="174" customFormat="1">
      <c r="A53" s="197"/>
      <c r="B53" s="164" t="s">
        <v>318</v>
      </c>
      <c r="C53" s="187" t="s">
        <v>310</v>
      </c>
      <c r="D53" s="138"/>
      <c r="E53" s="138"/>
      <c r="F53" s="141">
        <v>1350</v>
      </c>
      <c r="G53" s="138"/>
      <c r="H53" s="138"/>
      <c r="I53" s="138"/>
      <c r="J53" s="138">
        <v>2000</v>
      </c>
      <c r="K53" s="138"/>
      <c r="L53" s="138">
        <v>1800</v>
      </c>
      <c r="M53" s="138"/>
      <c r="N53" s="138"/>
      <c r="O53" s="138">
        <v>1720</v>
      </c>
      <c r="P53" s="138"/>
      <c r="Q53" s="138"/>
      <c r="R53" s="187">
        <v>2460</v>
      </c>
      <c r="S53" s="88">
        <f t="shared" si="1"/>
        <v>1350</v>
      </c>
      <c r="T53" s="226" t="str" cm="1">
        <f t="array" ref="T53">_xlfn._xlws.FILTER(D$5:$R$5, D53:R53=MIN(D53:R53))</f>
        <v>vendor 3</v>
      </c>
      <c r="U53" s="137"/>
    </row>
    <row r="54" spans="1:21" s="174" customFormat="1" ht="177.6">
      <c r="A54" s="195">
        <v>56</v>
      </c>
      <c r="B54" s="163" t="s">
        <v>319</v>
      </c>
      <c r="C54" s="282" t="s">
        <v>176</v>
      </c>
      <c r="D54" s="138"/>
      <c r="E54" s="138"/>
      <c r="F54" s="141">
        <v>1850</v>
      </c>
      <c r="G54" s="138"/>
      <c r="H54" s="138"/>
      <c r="I54" s="138"/>
      <c r="J54" s="138">
        <v>2360</v>
      </c>
      <c r="K54" s="138"/>
      <c r="L54" s="138">
        <v>2400</v>
      </c>
      <c r="M54" s="138"/>
      <c r="N54" s="138"/>
      <c r="O54" s="138">
        <v>2100</v>
      </c>
      <c r="P54" s="138"/>
      <c r="Q54" s="138"/>
      <c r="R54" s="187">
        <v>3245</v>
      </c>
      <c r="S54" s="88">
        <f t="shared" si="1"/>
        <v>1850</v>
      </c>
      <c r="T54" s="226" t="str" cm="1">
        <f t="array" ref="T54">_xlfn._xlws.FILTER(D$5:$R$5, D54:R54=MIN(D54:R54))</f>
        <v>vendor 3</v>
      </c>
      <c r="U54" s="137"/>
    </row>
    <row r="55" spans="1:21" s="174" customFormat="1">
      <c r="A55" s="197"/>
      <c r="B55" s="164" t="s">
        <v>307</v>
      </c>
      <c r="C55" s="277" t="s">
        <v>291</v>
      </c>
      <c r="D55" s="138"/>
      <c r="E55" s="138"/>
      <c r="F55" s="141">
        <v>1800</v>
      </c>
      <c r="G55" s="138"/>
      <c r="H55" s="138"/>
      <c r="I55" s="138"/>
      <c r="J55" s="138">
        <v>2330</v>
      </c>
      <c r="K55" s="138"/>
      <c r="L55" s="138">
        <v>2350</v>
      </c>
      <c r="M55" s="138"/>
      <c r="N55" s="138"/>
      <c r="O55" s="138">
        <v>2060</v>
      </c>
      <c r="P55" s="138"/>
      <c r="Q55" s="138"/>
      <c r="R55" s="187">
        <v>3045</v>
      </c>
      <c r="S55" s="88">
        <f t="shared" si="1"/>
        <v>1800</v>
      </c>
      <c r="T55" s="226" t="str" cm="1">
        <f t="array" ref="T55">_xlfn._xlws.FILTER(D$5:$R$5, D55:R55=MIN(D55:R55))</f>
        <v>vendor 3</v>
      </c>
      <c r="U55" s="137"/>
    </row>
    <row r="56" spans="1:21" s="174" customFormat="1">
      <c r="A56" s="197"/>
      <c r="B56" s="164" t="s">
        <v>309</v>
      </c>
      <c r="C56" s="187" t="s">
        <v>303</v>
      </c>
      <c r="D56" s="138"/>
      <c r="E56" s="138"/>
      <c r="F56" s="141">
        <v>1750</v>
      </c>
      <c r="G56" s="138"/>
      <c r="H56" s="138"/>
      <c r="I56" s="138"/>
      <c r="J56" s="138">
        <v>2300</v>
      </c>
      <c r="K56" s="138"/>
      <c r="L56" s="138">
        <v>2300</v>
      </c>
      <c r="M56" s="138"/>
      <c r="N56" s="138"/>
      <c r="O56" s="138">
        <v>2020</v>
      </c>
      <c r="P56" s="138"/>
      <c r="Q56" s="138"/>
      <c r="R56" s="187">
        <v>2945</v>
      </c>
      <c r="S56" s="88">
        <f t="shared" si="1"/>
        <v>1750</v>
      </c>
      <c r="T56" s="226" t="str" cm="1">
        <f t="array" ref="T56">_xlfn._xlws.FILTER(D$5:$R$5, D56:R56=MIN(D56:R56))</f>
        <v>vendor 3</v>
      </c>
      <c r="U56" s="137"/>
    </row>
    <row r="57" spans="1:21" s="174" customFormat="1" ht="141.94999999999999">
      <c r="A57" s="198">
        <v>57</v>
      </c>
      <c r="B57" s="163" t="s">
        <v>320</v>
      </c>
      <c r="C57" s="282" t="s">
        <v>176</v>
      </c>
      <c r="D57" s="138"/>
      <c r="E57" s="138"/>
      <c r="F57" s="138">
        <v>2900</v>
      </c>
      <c r="G57" s="138"/>
      <c r="H57" s="138"/>
      <c r="I57" s="138"/>
      <c r="J57" s="138">
        <v>3470</v>
      </c>
      <c r="K57" s="138"/>
      <c r="L57" s="138">
        <v>3400</v>
      </c>
      <c r="M57" s="138"/>
      <c r="N57" s="138"/>
      <c r="O57" s="141">
        <v>2380</v>
      </c>
      <c r="P57" s="138"/>
      <c r="Q57" s="138"/>
      <c r="R57" s="288">
        <v>3855</v>
      </c>
      <c r="S57" s="88">
        <f t="shared" si="1"/>
        <v>2380</v>
      </c>
      <c r="T57" s="226" t="str" cm="1">
        <f t="array" ref="T57">_xlfn._xlws.FILTER(D$5:$R$5, D57:R57=MIN(D57:R57))</f>
        <v>vendor 12</v>
      </c>
      <c r="U57" s="137"/>
    </row>
    <row r="58" spans="1:21" s="174" customFormat="1">
      <c r="A58" s="200"/>
      <c r="B58" s="164" t="s">
        <v>321</v>
      </c>
      <c r="C58" s="277" t="s">
        <v>291</v>
      </c>
      <c r="D58" s="138"/>
      <c r="E58" s="138"/>
      <c r="F58" s="138">
        <v>2850</v>
      </c>
      <c r="G58" s="138"/>
      <c r="H58" s="138"/>
      <c r="I58" s="138"/>
      <c r="J58" s="138">
        <v>3350</v>
      </c>
      <c r="K58" s="138"/>
      <c r="L58" s="138">
        <v>3350</v>
      </c>
      <c r="M58" s="138"/>
      <c r="N58" s="138"/>
      <c r="O58" s="141">
        <v>2340</v>
      </c>
      <c r="P58" s="138"/>
      <c r="Q58" s="138"/>
      <c r="R58" s="288">
        <v>3655</v>
      </c>
      <c r="S58" s="88">
        <f t="shared" si="1"/>
        <v>2340</v>
      </c>
      <c r="T58" s="226" t="str" cm="1">
        <f t="array" ref="T58">_xlfn._xlws.FILTER(D$5:$R$5, D58:R58=MIN(D58:R58))</f>
        <v>vendor 12</v>
      </c>
      <c r="U58" s="137"/>
    </row>
    <row r="59" spans="1:21" s="174" customFormat="1">
      <c r="A59" s="200"/>
      <c r="B59" s="164" t="s">
        <v>307</v>
      </c>
      <c r="C59" s="187" t="s">
        <v>303</v>
      </c>
      <c r="D59" s="138"/>
      <c r="E59" s="138"/>
      <c r="F59" s="138">
        <v>2800</v>
      </c>
      <c r="G59" s="138"/>
      <c r="H59" s="138"/>
      <c r="I59" s="138"/>
      <c r="J59" s="138">
        <v>3200</v>
      </c>
      <c r="K59" s="138"/>
      <c r="L59" s="138">
        <v>3300</v>
      </c>
      <c r="M59" s="138"/>
      <c r="N59" s="138"/>
      <c r="O59" s="141">
        <v>2300</v>
      </c>
      <c r="P59" s="138"/>
      <c r="Q59" s="138"/>
      <c r="R59" s="288">
        <v>3555</v>
      </c>
      <c r="S59" s="88">
        <f t="shared" si="1"/>
        <v>2300</v>
      </c>
      <c r="T59" s="226" t="str" cm="1">
        <f t="array" ref="T59">_xlfn._xlws.FILTER(D$5:$R$5, D59:R59=MIN(D59:R59))</f>
        <v>vendor 12</v>
      </c>
      <c r="U59" s="137"/>
    </row>
    <row r="60" spans="1:21" s="174" customFormat="1" ht="177.6">
      <c r="A60" s="198">
        <v>58</v>
      </c>
      <c r="B60" s="199" t="s">
        <v>322</v>
      </c>
      <c r="C60" s="282" t="s">
        <v>176</v>
      </c>
      <c r="D60" s="138"/>
      <c r="E60" s="138"/>
      <c r="F60" s="138">
        <v>4000</v>
      </c>
      <c r="G60" s="138"/>
      <c r="H60" s="138"/>
      <c r="I60" s="138"/>
      <c r="J60" s="138">
        <v>4220</v>
      </c>
      <c r="K60" s="138"/>
      <c r="L60" s="138">
        <v>4500</v>
      </c>
      <c r="M60" s="138"/>
      <c r="N60" s="138"/>
      <c r="O60" s="141">
        <v>2680</v>
      </c>
      <c r="P60" s="138"/>
      <c r="Q60" s="138"/>
      <c r="R60" s="288">
        <v>4550</v>
      </c>
      <c r="S60" s="88">
        <f t="shared" si="1"/>
        <v>2680</v>
      </c>
      <c r="T60" s="226" t="str" cm="1">
        <f t="array" ref="T60">_xlfn._xlws.FILTER(D$5:$R$5, D60:R60=MIN(D60:R60))</f>
        <v>vendor 12</v>
      </c>
      <c r="U60" s="137"/>
    </row>
    <row r="61" spans="1:21" s="174" customFormat="1">
      <c r="A61" s="200"/>
      <c r="B61" s="201" t="s">
        <v>323</v>
      </c>
      <c r="C61" s="277" t="s">
        <v>291</v>
      </c>
      <c r="D61" s="138"/>
      <c r="E61" s="138"/>
      <c r="F61" s="138">
        <v>3950</v>
      </c>
      <c r="G61" s="138"/>
      <c r="H61" s="138"/>
      <c r="I61" s="138"/>
      <c r="J61" s="138">
        <v>4100</v>
      </c>
      <c r="K61" s="138"/>
      <c r="L61" s="138">
        <v>4450</v>
      </c>
      <c r="M61" s="138"/>
      <c r="N61" s="138"/>
      <c r="O61" s="141">
        <v>2640</v>
      </c>
      <c r="P61" s="138"/>
      <c r="Q61" s="138"/>
      <c r="R61" s="187">
        <v>4350</v>
      </c>
      <c r="S61" s="88">
        <f t="shared" si="1"/>
        <v>2640</v>
      </c>
      <c r="T61" s="226" t="str" cm="1">
        <f t="array" ref="T61">_xlfn._xlws.FILTER(D$5:$R$5, D61:R61=MIN(D61:R61))</f>
        <v>vendor 12</v>
      </c>
      <c r="U61" s="137"/>
    </row>
    <row r="62" spans="1:21" s="174" customFormat="1">
      <c r="A62" s="200"/>
      <c r="B62" s="202" t="s">
        <v>307</v>
      </c>
      <c r="C62" s="187" t="s">
        <v>303</v>
      </c>
      <c r="D62" s="138"/>
      <c r="E62" s="138"/>
      <c r="F62" s="137">
        <v>3900</v>
      </c>
      <c r="G62" s="138"/>
      <c r="H62" s="138"/>
      <c r="I62" s="138"/>
      <c r="J62" s="137">
        <v>4000</v>
      </c>
      <c r="K62" s="138"/>
      <c r="L62" s="138">
        <v>4400</v>
      </c>
      <c r="M62" s="138"/>
      <c r="N62" s="138"/>
      <c r="O62" s="141">
        <v>2600</v>
      </c>
      <c r="P62" s="138"/>
      <c r="Q62" s="138"/>
      <c r="R62" s="187">
        <v>4250</v>
      </c>
      <c r="S62" s="88">
        <f t="shared" si="1"/>
        <v>2600</v>
      </c>
      <c r="T62" s="226" t="str" cm="1">
        <f t="array" ref="T62">_xlfn._xlws.FILTER(D$5:$R$5, D62:R62=MIN(D62:R62))</f>
        <v>vendor 12</v>
      </c>
      <c r="U62" s="137"/>
    </row>
    <row r="63" spans="1:21" s="174" customFormat="1">
      <c r="A63" s="200"/>
      <c r="B63" s="203" t="s">
        <v>324</v>
      </c>
      <c r="C63" s="187"/>
      <c r="D63" s="138"/>
      <c r="E63" s="138"/>
      <c r="F63" s="176" t="s">
        <v>325</v>
      </c>
      <c r="G63" s="138"/>
      <c r="H63" s="138"/>
      <c r="I63" s="138"/>
      <c r="J63" s="138">
        <v>990</v>
      </c>
      <c r="K63" s="138"/>
      <c r="L63" s="138">
        <v>900</v>
      </c>
      <c r="M63" s="138"/>
      <c r="N63" s="138"/>
      <c r="O63" s="138">
        <v>430</v>
      </c>
      <c r="P63" s="138"/>
      <c r="Q63" s="138">
        <v>750</v>
      </c>
      <c r="R63" s="187"/>
      <c r="S63" s="88"/>
      <c r="T63" s="305" t="s">
        <v>326</v>
      </c>
      <c r="U63" s="137"/>
    </row>
    <row r="64" spans="1:21" s="174" customFormat="1" ht="106.5">
      <c r="A64" s="204"/>
      <c r="B64" s="205" t="s">
        <v>327</v>
      </c>
      <c r="C64" s="187"/>
      <c r="D64" s="138"/>
      <c r="E64" s="138"/>
      <c r="F64" s="176" t="s">
        <v>328</v>
      </c>
      <c r="G64" s="138"/>
      <c r="H64" s="138"/>
      <c r="I64" s="138"/>
      <c r="J64" s="138">
        <v>800</v>
      </c>
      <c r="K64" s="138"/>
      <c r="L64" s="138">
        <v>220</v>
      </c>
      <c r="M64" s="138"/>
      <c r="N64" s="138"/>
      <c r="O64" s="138">
        <v>240</v>
      </c>
      <c r="P64" s="138"/>
      <c r="Q64" s="138">
        <v>500</v>
      </c>
      <c r="R64" s="187"/>
      <c r="S64" s="88"/>
      <c r="T64" s="306"/>
      <c r="U64" s="137"/>
    </row>
    <row r="65" spans="1:21" s="174" customFormat="1">
      <c r="A65" s="198"/>
      <c r="B65" s="206"/>
      <c r="C65" s="187" t="s">
        <v>329</v>
      </c>
      <c r="D65" s="138"/>
      <c r="E65" s="138"/>
      <c r="F65" s="138"/>
      <c r="G65" s="138"/>
      <c r="H65" s="138"/>
      <c r="I65" s="138"/>
      <c r="J65" s="138"/>
      <c r="K65" s="138"/>
      <c r="L65" s="138">
        <v>5.6</v>
      </c>
      <c r="M65" s="138"/>
      <c r="N65" s="141">
        <v>3</v>
      </c>
      <c r="O65" s="138"/>
      <c r="P65" s="138"/>
      <c r="Q65" s="138"/>
      <c r="R65" s="187" t="s">
        <v>330</v>
      </c>
      <c r="S65" s="88">
        <f t="shared" ref="S65:S96" si="2">MIN(D65:R65)</f>
        <v>3</v>
      </c>
      <c r="T65" s="226" t="str" cm="1">
        <f t="array" ref="T65">_xlfn._xlws.FILTER(D$5:$R$5, D65:R65=MIN(D65:R65))</f>
        <v>vendor 11</v>
      </c>
      <c r="U65" s="137"/>
    </row>
    <row r="66" spans="1:21" s="174" customFormat="1" ht="71.099999999999994">
      <c r="A66" s="207">
        <v>59</v>
      </c>
      <c r="B66" s="164" t="s">
        <v>331</v>
      </c>
      <c r="C66" s="187" t="s">
        <v>332</v>
      </c>
      <c r="D66" s="138"/>
      <c r="E66" s="138"/>
      <c r="F66" s="138"/>
      <c r="G66" s="138"/>
      <c r="H66" s="138"/>
      <c r="I66" s="138"/>
      <c r="J66" s="138"/>
      <c r="K66" s="138"/>
      <c r="L66" s="138">
        <v>3.8</v>
      </c>
      <c r="M66" s="138"/>
      <c r="N66" s="141">
        <v>2.8</v>
      </c>
      <c r="O66" s="138"/>
      <c r="P66" s="138"/>
      <c r="Q66" s="138">
        <v>11</v>
      </c>
      <c r="R66" s="187" t="s">
        <v>333</v>
      </c>
      <c r="S66" s="88">
        <f t="shared" si="2"/>
        <v>2.8</v>
      </c>
      <c r="T66" s="226" t="str" cm="1">
        <f t="array" ref="T66">_xlfn._xlws.FILTER(D$5:$R$5, D66:R66=MIN(D66:R66))</f>
        <v>vendor 11</v>
      </c>
      <c r="U66" s="137"/>
    </row>
    <row r="67" spans="1:21" s="174" customFormat="1">
      <c r="A67" s="207"/>
      <c r="B67" s="208" t="s">
        <v>334</v>
      </c>
      <c r="C67" s="187" t="s">
        <v>335</v>
      </c>
      <c r="D67" s="138"/>
      <c r="E67" s="138"/>
      <c r="F67" s="138"/>
      <c r="G67" s="138"/>
      <c r="H67" s="141">
        <v>1.7</v>
      </c>
      <c r="I67" s="138"/>
      <c r="J67" s="138"/>
      <c r="K67" s="138"/>
      <c r="L67" s="138">
        <v>3.4</v>
      </c>
      <c r="M67" s="138"/>
      <c r="N67" s="138">
        <v>2.5</v>
      </c>
      <c r="O67" s="138"/>
      <c r="P67" s="138"/>
      <c r="Q67" s="138">
        <v>10</v>
      </c>
      <c r="R67" s="187" t="s">
        <v>336</v>
      </c>
      <c r="S67" s="88">
        <f t="shared" si="2"/>
        <v>1.7</v>
      </c>
      <c r="T67" s="226" t="str" cm="1">
        <f t="array" ref="T67">_xlfn._xlws.FILTER(D$5:$R$5, D67:R67=MIN(D67:R67))</f>
        <v>vendor 5</v>
      </c>
      <c r="U67" s="137"/>
    </row>
    <row r="68" spans="1:21" s="174" customFormat="1">
      <c r="A68" s="209"/>
      <c r="B68" s="163"/>
      <c r="C68" s="187" t="s">
        <v>337</v>
      </c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41">
        <v>2.5</v>
      </c>
      <c r="O68" s="138"/>
      <c r="P68" s="138"/>
      <c r="Q68" s="138"/>
      <c r="R68" s="187">
        <v>6.9</v>
      </c>
      <c r="S68" s="88">
        <f t="shared" si="2"/>
        <v>2.5</v>
      </c>
      <c r="T68" s="226" t="str" cm="1">
        <f t="array" ref="T68">_xlfn._xlws.FILTER(D$5:$R$5, D68:R68=MIN(D68:R68))</f>
        <v>vendor 11</v>
      </c>
      <c r="U68" s="137"/>
    </row>
    <row r="69" spans="1:21" s="174" customFormat="1">
      <c r="A69" s="120">
        <v>60</v>
      </c>
      <c r="B69" s="164" t="s">
        <v>338</v>
      </c>
      <c r="C69" s="187" t="s">
        <v>339</v>
      </c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41">
        <v>2.2000000000000002</v>
      </c>
      <c r="O69" s="138"/>
      <c r="P69" s="138"/>
      <c r="Q69" s="138"/>
      <c r="R69" s="187">
        <v>5.75</v>
      </c>
      <c r="S69" s="88">
        <f t="shared" si="2"/>
        <v>2.2000000000000002</v>
      </c>
      <c r="T69" s="226" t="str" cm="1">
        <f t="array" ref="T69">_xlfn._xlws.FILTER(D$5:$R$5, D69:R69=MIN(D69:R69))</f>
        <v>vendor 11</v>
      </c>
      <c r="U69" s="137"/>
    </row>
    <row r="70" spans="1:21" s="174" customFormat="1">
      <c r="A70" s="121"/>
      <c r="B70" s="165"/>
      <c r="C70" s="187" t="s">
        <v>340</v>
      </c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41">
        <v>2</v>
      </c>
      <c r="O70" s="138"/>
      <c r="P70" s="138"/>
      <c r="Q70" s="138"/>
      <c r="R70" s="187">
        <v>4.95</v>
      </c>
      <c r="S70" s="88">
        <f t="shared" si="2"/>
        <v>2</v>
      </c>
      <c r="T70" s="226" t="str" cm="1">
        <f t="array" ref="T70">_xlfn._xlws.FILTER(D$5:$R$5, D70:R70=MIN(D70:R70))</f>
        <v>vendor 11</v>
      </c>
      <c r="U70" s="137"/>
    </row>
    <row r="71" spans="1:21" s="174" customFormat="1">
      <c r="A71" s="310">
        <v>61</v>
      </c>
      <c r="B71" s="322" t="s">
        <v>341</v>
      </c>
      <c r="C71" s="277" t="s">
        <v>251</v>
      </c>
      <c r="D71" s="138"/>
      <c r="E71" s="138"/>
      <c r="F71" s="138"/>
      <c r="G71" s="138"/>
      <c r="H71" s="138"/>
      <c r="I71" s="138">
        <v>11.5</v>
      </c>
      <c r="J71" s="138"/>
      <c r="K71" s="138"/>
      <c r="L71" s="138">
        <v>37.4</v>
      </c>
      <c r="M71" s="138"/>
      <c r="N71" s="141">
        <v>10</v>
      </c>
      <c r="O71" s="138"/>
      <c r="P71" s="138">
        <v>11.5</v>
      </c>
      <c r="Q71" s="138">
        <v>20</v>
      </c>
      <c r="R71" s="187" t="s">
        <v>342</v>
      </c>
      <c r="S71" s="88">
        <f t="shared" si="2"/>
        <v>10</v>
      </c>
      <c r="T71" s="226" t="str" cm="1">
        <f t="array" ref="T71">_xlfn._xlws.FILTER(D$5:$R$5, D71:R71=MIN(D71:R71))</f>
        <v>vendor 11</v>
      </c>
      <c r="U71" s="137"/>
    </row>
    <row r="72" spans="1:21">
      <c r="A72" s="310"/>
      <c r="B72" s="322"/>
      <c r="C72" s="187" t="s">
        <v>343</v>
      </c>
      <c r="D72" s="138"/>
      <c r="E72" s="138"/>
      <c r="F72" s="138"/>
      <c r="G72" s="138"/>
      <c r="H72" s="138"/>
      <c r="I72" s="141">
        <v>5.58</v>
      </c>
      <c r="J72" s="138"/>
      <c r="K72" s="138"/>
      <c r="L72" s="138">
        <v>15.24</v>
      </c>
      <c r="M72" s="138"/>
      <c r="N72" s="138">
        <v>8</v>
      </c>
      <c r="O72" s="138"/>
      <c r="P72" s="138">
        <v>5.75</v>
      </c>
      <c r="Q72" s="138">
        <v>15</v>
      </c>
      <c r="R72" s="187" t="s">
        <v>344</v>
      </c>
      <c r="S72" s="88">
        <f t="shared" si="2"/>
        <v>5.58</v>
      </c>
      <c r="T72" s="226" t="str" cm="1">
        <f t="array" ref="T72">_xlfn._xlws.FILTER(D$5:$R$5, D72:R72=MIN(D72:R72))</f>
        <v>vendor 6</v>
      </c>
    </row>
    <row r="73" spans="1:21">
      <c r="A73" s="310"/>
      <c r="B73" s="322"/>
      <c r="C73" s="187" t="s">
        <v>345</v>
      </c>
      <c r="D73" s="138"/>
      <c r="E73" s="138"/>
      <c r="F73" s="138"/>
      <c r="G73" s="138"/>
      <c r="H73" s="138"/>
      <c r="I73" s="141">
        <v>4.43</v>
      </c>
      <c r="J73" s="138"/>
      <c r="K73" s="138"/>
      <c r="L73" s="138">
        <v>9.6</v>
      </c>
      <c r="M73" s="138"/>
      <c r="N73" s="138">
        <v>7.5</v>
      </c>
      <c r="O73" s="138"/>
      <c r="P73" s="138">
        <v>4.5999999999999996</v>
      </c>
      <c r="Q73" s="138">
        <v>10</v>
      </c>
      <c r="R73" s="187" t="s">
        <v>346</v>
      </c>
      <c r="S73" s="88">
        <f t="shared" si="2"/>
        <v>4.43</v>
      </c>
      <c r="T73" s="226" t="str" cm="1">
        <f t="array" ref="T73">_xlfn._xlws.FILTER(D$5:$R$5, D73:R73=MIN(D73:R73))</f>
        <v>vendor 6</v>
      </c>
    </row>
    <row r="74" spans="1:21">
      <c r="A74" s="310"/>
      <c r="B74" s="322"/>
      <c r="C74" s="187" t="s">
        <v>347</v>
      </c>
      <c r="D74" s="138"/>
      <c r="E74" s="138"/>
      <c r="F74" s="138"/>
      <c r="G74" s="138"/>
      <c r="H74" s="138"/>
      <c r="I74" s="141">
        <v>3.28</v>
      </c>
      <c r="J74" s="138"/>
      <c r="K74" s="138"/>
      <c r="L74" s="138">
        <v>6.64</v>
      </c>
      <c r="M74" s="138"/>
      <c r="N74" s="138">
        <v>7</v>
      </c>
      <c r="O74" s="138"/>
      <c r="P74" s="138">
        <v>3.45</v>
      </c>
      <c r="Q74" s="138">
        <v>9</v>
      </c>
      <c r="R74" s="187" t="s">
        <v>348</v>
      </c>
      <c r="S74" s="88">
        <f t="shared" si="2"/>
        <v>3.28</v>
      </c>
      <c r="T74" s="226" t="str" cm="1">
        <f t="array" ref="T74">_xlfn._xlws.FILTER(D$5:$R$5, D74:R74=MIN(D74:R74))</f>
        <v>vendor 6</v>
      </c>
    </row>
    <row r="75" spans="1:21">
      <c r="A75" s="321"/>
      <c r="B75" s="323"/>
      <c r="C75" s="187" t="s">
        <v>349</v>
      </c>
      <c r="D75" s="138"/>
      <c r="E75" s="138"/>
      <c r="F75" s="138"/>
      <c r="G75" s="138"/>
      <c r="H75" s="138"/>
      <c r="I75" s="141">
        <v>2.88</v>
      </c>
      <c r="J75" s="138"/>
      <c r="K75" s="138"/>
      <c r="L75" s="138">
        <v>5.18</v>
      </c>
      <c r="M75" s="138"/>
      <c r="N75" s="138">
        <v>6</v>
      </c>
      <c r="O75" s="138"/>
      <c r="P75" s="138">
        <v>3</v>
      </c>
      <c r="Q75" s="138">
        <v>8.5</v>
      </c>
      <c r="R75" s="187" t="s">
        <v>350</v>
      </c>
      <c r="S75" s="88">
        <f t="shared" si="2"/>
        <v>2.88</v>
      </c>
      <c r="T75" s="226" t="str" cm="1">
        <f t="array" ref="T75">_xlfn._xlws.FILTER(D$5:$R$5, D75:R75=MIN(D75:R75))</f>
        <v>vendor 6</v>
      </c>
    </row>
    <row r="76" spans="1:21" s="174" customFormat="1">
      <c r="A76" s="324">
        <v>62</v>
      </c>
      <c r="B76" s="323" t="s">
        <v>351</v>
      </c>
      <c r="C76" s="187" t="s">
        <v>352</v>
      </c>
      <c r="D76" s="138"/>
      <c r="E76" s="138"/>
      <c r="F76" s="138"/>
      <c r="G76" s="138"/>
      <c r="H76" s="138"/>
      <c r="I76" s="138">
        <v>17.25</v>
      </c>
      <c r="J76" s="138"/>
      <c r="K76" s="138"/>
      <c r="L76" s="138">
        <v>33.659999999999997</v>
      </c>
      <c r="M76" s="138"/>
      <c r="N76" s="141">
        <v>10</v>
      </c>
      <c r="O76" s="138"/>
      <c r="P76" s="138">
        <v>17.25</v>
      </c>
      <c r="Q76" s="138">
        <v>25</v>
      </c>
      <c r="R76" s="187" t="s">
        <v>353</v>
      </c>
      <c r="S76" s="88">
        <f t="shared" si="2"/>
        <v>10</v>
      </c>
      <c r="T76" s="226" t="str" cm="1">
        <f t="array" ref="T76">_xlfn._xlws.FILTER(D$5:$R$5, D76:R76=MIN(D76:R76))</f>
        <v>vendor 11</v>
      </c>
      <c r="U76" s="137"/>
    </row>
    <row r="77" spans="1:21" s="174" customFormat="1">
      <c r="A77" s="325"/>
      <c r="B77" s="326"/>
      <c r="C77" s="187" t="s">
        <v>354</v>
      </c>
      <c r="D77" s="138"/>
      <c r="E77" s="138"/>
      <c r="F77" s="138"/>
      <c r="G77" s="138"/>
      <c r="H77" s="138"/>
      <c r="I77" s="138">
        <v>11.5</v>
      </c>
      <c r="J77" s="138"/>
      <c r="K77" s="138"/>
      <c r="L77" s="138">
        <v>13.72</v>
      </c>
      <c r="M77" s="138"/>
      <c r="N77" s="141">
        <v>9</v>
      </c>
      <c r="O77" s="138"/>
      <c r="P77" s="138">
        <v>11.5</v>
      </c>
      <c r="Q77" s="138">
        <v>20</v>
      </c>
      <c r="R77" s="187" t="s">
        <v>355</v>
      </c>
      <c r="S77" s="88">
        <f t="shared" si="2"/>
        <v>9</v>
      </c>
      <c r="T77" s="226" t="str" cm="1">
        <f t="array" ref="T77">_xlfn._xlws.FILTER(D$5:$R$5, D77:R77=MIN(D77:R77))</f>
        <v>vendor 11</v>
      </c>
      <c r="U77" s="137"/>
    </row>
    <row r="78" spans="1:21" s="174" customFormat="1">
      <c r="A78" s="325"/>
      <c r="B78" s="326"/>
      <c r="C78" s="187" t="s">
        <v>356</v>
      </c>
      <c r="D78" s="138"/>
      <c r="E78" s="138"/>
      <c r="F78" s="138"/>
      <c r="G78" s="138"/>
      <c r="H78" s="138"/>
      <c r="I78" s="138">
        <v>10.35</v>
      </c>
      <c r="J78" s="138"/>
      <c r="K78" s="138"/>
      <c r="L78" s="138">
        <v>8.64</v>
      </c>
      <c r="M78" s="138"/>
      <c r="N78" s="141">
        <v>8.5</v>
      </c>
      <c r="O78" s="138"/>
      <c r="P78" s="138">
        <v>10.5</v>
      </c>
      <c r="Q78" s="138">
        <v>15</v>
      </c>
      <c r="R78" s="187" t="s">
        <v>357</v>
      </c>
      <c r="S78" s="88">
        <f t="shared" si="2"/>
        <v>8.5</v>
      </c>
      <c r="T78" s="226" t="str" cm="1">
        <f t="array" ref="T78">_xlfn._xlws.FILTER(D$5:$R$5, D78:R78=MIN(D78:R78))</f>
        <v>vendor 11</v>
      </c>
      <c r="U78" s="137"/>
    </row>
    <row r="79" spans="1:21">
      <c r="A79" s="325"/>
      <c r="B79" s="326"/>
      <c r="C79" s="187" t="s">
        <v>358</v>
      </c>
      <c r="D79" s="138"/>
      <c r="E79" s="138"/>
      <c r="F79" s="138"/>
      <c r="G79" s="138"/>
      <c r="H79" s="138"/>
      <c r="I79" s="138">
        <v>8.0500000000000007</v>
      </c>
      <c r="J79" s="138"/>
      <c r="K79" s="138"/>
      <c r="L79" s="141">
        <v>5.98</v>
      </c>
      <c r="M79" s="138"/>
      <c r="N79" s="138">
        <v>8</v>
      </c>
      <c r="O79" s="138"/>
      <c r="P79" s="138">
        <v>8.1999999999999993</v>
      </c>
      <c r="Q79" s="138">
        <v>12</v>
      </c>
      <c r="R79" s="187" t="s">
        <v>359</v>
      </c>
      <c r="S79" s="88">
        <f t="shared" si="2"/>
        <v>5.98</v>
      </c>
      <c r="T79" s="226" t="str" cm="1">
        <f t="array" ref="T79">_xlfn._xlws.FILTER(D$5:$R$5, D79:R79=MIN(D79:R79))</f>
        <v>vendor 9</v>
      </c>
    </row>
    <row r="80" spans="1:21">
      <c r="A80" s="325"/>
      <c r="B80" s="326"/>
      <c r="C80" s="187" t="s">
        <v>332</v>
      </c>
      <c r="D80" s="138"/>
      <c r="E80" s="138"/>
      <c r="F80" s="138"/>
      <c r="G80" s="138"/>
      <c r="H80" s="138"/>
      <c r="I80" s="138">
        <v>6.33</v>
      </c>
      <c r="J80" s="138"/>
      <c r="K80" s="138"/>
      <c r="L80" s="141">
        <v>4.66</v>
      </c>
      <c r="M80" s="138"/>
      <c r="N80" s="138">
        <v>7</v>
      </c>
      <c r="O80" s="138"/>
      <c r="P80" s="138">
        <v>6.5</v>
      </c>
      <c r="Q80" s="138">
        <v>9</v>
      </c>
      <c r="R80" s="187" t="s">
        <v>360</v>
      </c>
      <c r="S80" s="88">
        <f t="shared" si="2"/>
        <v>4.66</v>
      </c>
      <c r="T80" s="226" t="str" cm="1">
        <f t="array" ref="T80">_xlfn._xlws.FILTER(D$5:$R$5, D80:R80=MIN(D80:R80))</f>
        <v>vendor 9</v>
      </c>
    </row>
    <row r="81" spans="1:20" ht="39.6" customHeight="1">
      <c r="A81" s="113">
        <v>63</v>
      </c>
      <c r="B81" s="212" t="s">
        <v>361</v>
      </c>
      <c r="C81" s="187"/>
      <c r="D81" s="138"/>
      <c r="E81" s="138"/>
      <c r="F81" s="138"/>
      <c r="G81" s="138"/>
      <c r="H81" s="138"/>
      <c r="I81" s="138">
        <v>195.5</v>
      </c>
      <c r="J81" s="138"/>
      <c r="K81" s="138"/>
      <c r="L81" s="141">
        <v>140</v>
      </c>
      <c r="M81" s="141">
        <v>250</v>
      </c>
      <c r="N81" s="138">
        <v>450</v>
      </c>
      <c r="O81" s="138"/>
      <c r="P81" s="138">
        <v>195.5</v>
      </c>
      <c r="Q81" s="138">
        <v>200</v>
      </c>
      <c r="R81" s="189">
        <v>365</v>
      </c>
      <c r="S81" s="88">
        <f t="shared" si="2"/>
        <v>140</v>
      </c>
      <c r="T81" s="226" t="str" cm="1">
        <f t="array" ref="T81">_xlfn._xlws.FILTER(D$5:$R$5, D81:R81=MIN(D81:R81))</f>
        <v>vendor 9</v>
      </c>
    </row>
    <row r="82" spans="1:20" ht="41.1" customHeight="1">
      <c r="A82" s="113">
        <v>64</v>
      </c>
      <c r="B82" s="212" t="s">
        <v>362</v>
      </c>
      <c r="C82" s="187"/>
      <c r="D82" s="138"/>
      <c r="E82" s="138"/>
      <c r="F82" s="138"/>
      <c r="G82" s="138"/>
      <c r="H82" s="138"/>
      <c r="I82" s="138">
        <v>207</v>
      </c>
      <c r="J82" s="138"/>
      <c r="K82" s="138"/>
      <c r="L82" s="141">
        <v>180</v>
      </c>
      <c r="M82" s="141">
        <v>300</v>
      </c>
      <c r="N82" s="138">
        <v>600</v>
      </c>
      <c r="O82" s="138"/>
      <c r="P82" s="138">
        <v>207</v>
      </c>
      <c r="Q82" s="138">
        <v>220</v>
      </c>
      <c r="R82" s="189">
        <v>615</v>
      </c>
      <c r="S82" s="88">
        <f t="shared" si="2"/>
        <v>180</v>
      </c>
      <c r="T82" s="226" t="str" cm="1">
        <f t="array" ref="T82">_xlfn._xlws.FILTER(D$5:$R$5, D82:R82=MIN(D82:R82))</f>
        <v>vendor 9</v>
      </c>
    </row>
    <row r="83" spans="1:20">
      <c r="A83" s="113">
        <v>65</v>
      </c>
      <c r="B83" s="212" t="s">
        <v>363</v>
      </c>
      <c r="C83" s="187"/>
      <c r="D83" s="138"/>
      <c r="E83" s="138"/>
      <c r="F83" s="138"/>
      <c r="G83" s="138"/>
      <c r="H83" s="138"/>
      <c r="I83" s="138">
        <v>201.25</v>
      </c>
      <c r="J83" s="138"/>
      <c r="K83" s="138"/>
      <c r="L83" s="141">
        <v>145</v>
      </c>
      <c r="M83" s="141">
        <v>250</v>
      </c>
      <c r="N83" s="138">
        <v>550</v>
      </c>
      <c r="O83" s="138"/>
      <c r="P83" s="138">
        <v>202</v>
      </c>
      <c r="Q83" s="138">
        <v>210</v>
      </c>
      <c r="R83" s="189">
        <v>435</v>
      </c>
      <c r="S83" s="88">
        <f t="shared" si="2"/>
        <v>145</v>
      </c>
      <c r="T83" s="226" t="str" cm="1">
        <f t="array" ref="T83">_xlfn._xlws.FILTER(D$5:$R$5, D83:R83=MIN(D83:R83))</f>
        <v>vendor 9</v>
      </c>
    </row>
    <row r="84" spans="1:20">
      <c r="A84" s="113">
        <v>66</v>
      </c>
      <c r="B84" s="212" t="s">
        <v>364</v>
      </c>
      <c r="C84" s="187"/>
      <c r="D84" s="138"/>
      <c r="E84" s="138"/>
      <c r="F84" s="138"/>
      <c r="G84" s="138"/>
      <c r="H84" s="138"/>
      <c r="I84" s="138">
        <v>212.75</v>
      </c>
      <c r="J84" s="138"/>
      <c r="K84" s="138"/>
      <c r="L84" s="141">
        <v>185</v>
      </c>
      <c r="M84" s="141">
        <v>250</v>
      </c>
      <c r="N84" s="138">
        <v>700</v>
      </c>
      <c r="O84" s="138"/>
      <c r="P84" s="138">
        <v>215</v>
      </c>
      <c r="Q84" s="138">
        <v>225</v>
      </c>
      <c r="R84" s="189">
        <v>685</v>
      </c>
      <c r="S84" s="88">
        <f t="shared" si="2"/>
        <v>185</v>
      </c>
      <c r="T84" s="226" t="str" cm="1">
        <f t="array" ref="T84">_xlfn._xlws.FILTER(D$5:$R$5, D84:R84=MIN(D84:R84))</f>
        <v>vendor 9</v>
      </c>
    </row>
    <row r="85" spans="1:20" ht="39.6" customHeight="1">
      <c r="A85" s="113">
        <v>67</v>
      </c>
      <c r="B85" s="212" t="s">
        <v>365</v>
      </c>
      <c r="C85" s="187"/>
      <c r="D85" s="138"/>
      <c r="E85" s="138"/>
      <c r="F85" s="138"/>
      <c r="G85" s="138"/>
      <c r="H85" s="138"/>
      <c r="I85" s="138">
        <v>230</v>
      </c>
      <c r="J85" s="138"/>
      <c r="K85" s="138"/>
      <c r="L85" s="141">
        <v>160</v>
      </c>
      <c r="M85" s="141">
        <v>400</v>
      </c>
      <c r="N85" s="138">
        <v>530</v>
      </c>
      <c r="O85" s="138"/>
      <c r="P85" s="138">
        <v>230</v>
      </c>
      <c r="Q85" s="138">
        <v>240</v>
      </c>
      <c r="R85" s="189"/>
      <c r="S85" s="88">
        <f t="shared" si="2"/>
        <v>160</v>
      </c>
      <c r="T85" s="226" t="str" cm="1">
        <f t="array" ref="T85">_xlfn._xlws.FILTER(D$5:$R$5, D85:R85=MIN(D85:R85))</f>
        <v>vendor 9</v>
      </c>
    </row>
    <row r="86" spans="1:20" ht="37.5" customHeight="1">
      <c r="A86" s="113">
        <v>68</v>
      </c>
      <c r="B86" s="212" t="s">
        <v>366</v>
      </c>
      <c r="C86" s="187"/>
      <c r="D86" s="138"/>
      <c r="E86" s="138"/>
      <c r="F86" s="138"/>
      <c r="G86" s="138"/>
      <c r="H86" s="138"/>
      <c r="I86" s="138">
        <v>253</v>
      </c>
      <c r="J86" s="138"/>
      <c r="K86" s="138"/>
      <c r="L86" s="141">
        <v>200</v>
      </c>
      <c r="M86" s="141">
        <v>450</v>
      </c>
      <c r="N86" s="138">
        <v>680</v>
      </c>
      <c r="O86" s="138"/>
      <c r="P86" s="138">
        <v>253</v>
      </c>
      <c r="Q86" s="138">
        <v>250</v>
      </c>
      <c r="R86" s="189"/>
      <c r="S86" s="88">
        <f t="shared" si="2"/>
        <v>200</v>
      </c>
      <c r="T86" s="226" t="str" cm="1">
        <f t="array" ref="T86">_xlfn._xlws.FILTER(D$5:$R$5, D86:R86=MIN(D86:R86))</f>
        <v>vendor 9</v>
      </c>
    </row>
    <row r="87" spans="1:20">
      <c r="A87" s="113">
        <v>69</v>
      </c>
      <c r="B87" s="212" t="s">
        <v>367</v>
      </c>
      <c r="C87" s="187"/>
      <c r="D87" s="138"/>
      <c r="E87" s="138"/>
      <c r="F87" s="138"/>
      <c r="G87" s="138"/>
      <c r="H87" s="138"/>
      <c r="I87" s="138">
        <v>235.75</v>
      </c>
      <c r="J87" s="138"/>
      <c r="K87" s="138"/>
      <c r="L87" s="141">
        <v>165</v>
      </c>
      <c r="M87" s="141">
        <v>400</v>
      </c>
      <c r="N87" s="138">
        <v>580</v>
      </c>
      <c r="O87" s="138"/>
      <c r="P87" s="138">
        <v>235.75</v>
      </c>
      <c r="Q87" s="138">
        <v>250</v>
      </c>
      <c r="R87" s="189"/>
      <c r="S87" s="88">
        <f t="shared" si="2"/>
        <v>165</v>
      </c>
      <c r="T87" s="226" t="str" cm="1">
        <f t="array" ref="T87">_xlfn._xlws.FILTER(D$5:$R$5, D87:R87=MIN(D87:R87))</f>
        <v>vendor 9</v>
      </c>
    </row>
    <row r="88" spans="1:20">
      <c r="A88" s="113">
        <v>70</v>
      </c>
      <c r="B88" s="212" t="s">
        <v>368</v>
      </c>
      <c r="C88" s="187"/>
      <c r="D88" s="138"/>
      <c r="E88" s="138"/>
      <c r="F88" s="138"/>
      <c r="G88" s="138"/>
      <c r="H88" s="138"/>
      <c r="I88" s="138">
        <v>258.75</v>
      </c>
      <c r="J88" s="138"/>
      <c r="K88" s="138"/>
      <c r="L88" s="141">
        <v>205</v>
      </c>
      <c r="M88" s="141">
        <v>450</v>
      </c>
      <c r="N88" s="138">
        <v>700</v>
      </c>
      <c r="O88" s="138"/>
      <c r="P88" s="138">
        <v>260</v>
      </c>
      <c r="Q88" s="138">
        <v>260</v>
      </c>
      <c r="R88" s="189"/>
      <c r="S88" s="88">
        <f t="shared" si="2"/>
        <v>205</v>
      </c>
      <c r="T88" s="226" t="str" cm="1">
        <f t="array" ref="T88">_xlfn._xlws.FILTER(D$5:$R$5, D88:R88=MIN(D88:R88))</f>
        <v>vendor 9</v>
      </c>
    </row>
    <row r="89" spans="1:20" ht="37.5" customHeight="1">
      <c r="A89" s="113">
        <v>71</v>
      </c>
      <c r="B89" s="212" t="s">
        <v>369</v>
      </c>
      <c r="C89" s="187"/>
      <c r="D89" s="138"/>
      <c r="E89" s="138"/>
      <c r="F89" s="138"/>
      <c r="G89" s="138"/>
      <c r="H89" s="138"/>
      <c r="I89" s="138">
        <v>270.25</v>
      </c>
      <c r="J89" s="138"/>
      <c r="K89" s="138"/>
      <c r="L89" s="141">
        <v>180</v>
      </c>
      <c r="M89" s="141">
        <v>400</v>
      </c>
      <c r="N89" s="138">
        <v>550</v>
      </c>
      <c r="O89" s="138"/>
      <c r="P89" s="138">
        <v>272</v>
      </c>
      <c r="Q89" s="138">
        <v>280</v>
      </c>
      <c r="R89" s="189">
        <v>405</v>
      </c>
      <c r="S89" s="88">
        <f t="shared" si="2"/>
        <v>180</v>
      </c>
      <c r="T89" s="226" t="str" cm="1">
        <f t="array" ref="T89">_xlfn._xlws.FILTER(D$5:$R$5, D89:R89=MIN(D89:R89))</f>
        <v>vendor 9</v>
      </c>
    </row>
    <row r="90" spans="1:20" ht="41.1" customHeight="1">
      <c r="A90" s="113">
        <v>72</v>
      </c>
      <c r="B90" s="212" t="s">
        <v>370</v>
      </c>
      <c r="C90" s="187"/>
      <c r="D90" s="138"/>
      <c r="E90" s="138"/>
      <c r="F90" s="138"/>
      <c r="G90" s="138"/>
      <c r="H90" s="138"/>
      <c r="I90" s="138">
        <v>276</v>
      </c>
      <c r="J90" s="138"/>
      <c r="K90" s="138"/>
      <c r="L90" s="141">
        <v>220</v>
      </c>
      <c r="M90" s="141">
        <v>450</v>
      </c>
      <c r="N90" s="138">
        <v>700</v>
      </c>
      <c r="O90" s="138"/>
      <c r="P90" s="138">
        <v>276</v>
      </c>
      <c r="Q90" s="138">
        <v>290</v>
      </c>
      <c r="R90" s="189">
        <v>655</v>
      </c>
      <c r="S90" s="88">
        <f t="shared" si="2"/>
        <v>220</v>
      </c>
      <c r="T90" s="226" t="str" cm="1">
        <f t="array" ref="T90">_xlfn._xlws.FILTER(D$5:$R$5, D90:R90=MIN(D90:R90))</f>
        <v>vendor 9</v>
      </c>
    </row>
    <row r="91" spans="1:20">
      <c r="A91" s="113">
        <v>73</v>
      </c>
      <c r="B91" s="212" t="s">
        <v>371</v>
      </c>
      <c r="C91" s="187"/>
      <c r="D91" s="138"/>
      <c r="E91" s="138"/>
      <c r="F91" s="138"/>
      <c r="G91" s="138"/>
      <c r="H91" s="138"/>
      <c r="I91" s="138">
        <v>276</v>
      </c>
      <c r="J91" s="138"/>
      <c r="K91" s="138"/>
      <c r="L91" s="141">
        <v>185</v>
      </c>
      <c r="M91" s="141">
        <v>400</v>
      </c>
      <c r="N91" s="138">
        <v>600</v>
      </c>
      <c r="O91" s="138"/>
      <c r="P91" s="138">
        <v>276</v>
      </c>
      <c r="Q91" s="138">
        <v>290</v>
      </c>
      <c r="R91" s="189">
        <v>505</v>
      </c>
      <c r="S91" s="88">
        <f t="shared" si="2"/>
        <v>185</v>
      </c>
      <c r="T91" s="226" t="str" cm="1">
        <f t="array" ref="T91">_xlfn._xlws.FILTER(D$5:$R$5, D91:R91=MIN(D91:R91))</f>
        <v>vendor 9</v>
      </c>
    </row>
    <row r="92" spans="1:20">
      <c r="A92" s="113">
        <v>74</v>
      </c>
      <c r="B92" s="212" t="s">
        <v>372</v>
      </c>
      <c r="C92" s="187"/>
      <c r="D92" s="138"/>
      <c r="E92" s="138"/>
      <c r="F92" s="138"/>
      <c r="G92" s="138"/>
      <c r="H92" s="138"/>
      <c r="I92" s="138">
        <v>281.75</v>
      </c>
      <c r="J92" s="138"/>
      <c r="K92" s="138"/>
      <c r="L92" s="141">
        <v>225</v>
      </c>
      <c r="M92" s="141">
        <v>450</v>
      </c>
      <c r="N92" s="138">
        <v>700</v>
      </c>
      <c r="O92" s="138"/>
      <c r="P92" s="138">
        <v>282</v>
      </c>
      <c r="Q92" s="138">
        <v>300</v>
      </c>
      <c r="R92" s="189">
        <v>725</v>
      </c>
      <c r="S92" s="88">
        <f t="shared" si="2"/>
        <v>225</v>
      </c>
      <c r="T92" s="226" t="str" cm="1">
        <f t="array" ref="T92">_xlfn._xlws.FILTER(D$5:$R$5, D92:R92=MIN(D92:R92))</f>
        <v>vendor 9</v>
      </c>
    </row>
    <row r="93" spans="1:20">
      <c r="A93" s="113">
        <v>75</v>
      </c>
      <c r="B93" s="213" t="s">
        <v>373</v>
      </c>
      <c r="C93" s="187"/>
      <c r="D93" s="138"/>
      <c r="E93" s="138"/>
      <c r="F93" s="138"/>
      <c r="G93" s="138"/>
      <c r="H93" s="138"/>
      <c r="I93" s="138">
        <v>247.25</v>
      </c>
      <c r="J93" s="138"/>
      <c r="K93" s="138"/>
      <c r="L93" s="141">
        <v>120</v>
      </c>
      <c r="M93" s="141">
        <v>250</v>
      </c>
      <c r="N93" s="138">
        <v>350</v>
      </c>
      <c r="O93" s="138"/>
      <c r="P93" s="138">
        <v>250</v>
      </c>
      <c r="Q93" s="138">
        <v>250</v>
      </c>
      <c r="R93" s="189">
        <v>520</v>
      </c>
      <c r="S93" s="88">
        <f t="shared" si="2"/>
        <v>120</v>
      </c>
      <c r="T93" s="226" t="str" cm="1">
        <f t="array" ref="T93">_xlfn._xlws.FILTER(D$5:$R$5, D93:R93=MIN(D93:R93))</f>
        <v>vendor 9</v>
      </c>
    </row>
    <row r="94" spans="1:20">
      <c r="A94" s="113">
        <v>76</v>
      </c>
      <c r="B94" s="213" t="s">
        <v>374</v>
      </c>
      <c r="C94" s="187"/>
      <c r="D94" s="138"/>
      <c r="E94" s="138"/>
      <c r="F94" s="138"/>
      <c r="G94" s="138"/>
      <c r="H94" s="138"/>
      <c r="I94" s="138">
        <v>247.25</v>
      </c>
      <c r="J94" s="138"/>
      <c r="K94" s="138"/>
      <c r="L94" s="141">
        <v>120</v>
      </c>
      <c r="M94" s="141">
        <v>250</v>
      </c>
      <c r="N94" s="138">
        <v>350</v>
      </c>
      <c r="O94" s="138"/>
      <c r="P94" s="138">
        <v>250</v>
      </c>
      <c r="Q94" s="138">
        <v>250</v>
      </c>
      <c r="R94" s="189">
        <v>520</v>
      </c>
      <c r="S94" s="88">
        <f t="shared" si="2"/>
        <v>120</v>
      </c>
      <c r="T94" s="226" t="str" cm="1">
        <f t="array" ref="T94">_xlfn._xlws.FILTER(D$5:$R$5, D94:R94=MIN(D94:R94))</f>
        <v>vendor 9</v>
      </c>
    </row>
    <row r="95" spans="1:20">
      <c r="A95" s="113">
        <v>77</v>
      </c>
      <c r="B95" s="213" t="s">
        <v>375</v>
      </c>
      <c r="C95" s="187"/>
      <c r="D95" s="138"/>
      <c r="E95" s="138"/>
      <c r="F95" s="138"/>
      <c r="G95" s="138"/>
      <c r="H95" s="138"/>
      <c r="I95" s="138">
        <v>247.25</v>
      </c>
      <c r="J95" s="138"/>
      <c r="K95" s="138"/>
      <c r="L95" s="141">
        <v>120</v>
      </c>
      <c r="M95" s="141">
        <v>250</v>
      </c>
      <c r="N95" s="138">
        <v>350</v>
      </c>
      <c r="O95" s="138"/>
      <c r="P95" s="138">
        <v>250</v>
      </c>
      <c r="Q95" s="138">
        <v>250</v>
      </c>
      <c r="R95" s="189">
        <v>520</v>
      </c>
      <c r="S95" s="88">
        <f t="shared" si="2"/>
        <v>120</v>
      </c>
      <c r="T95" s="226" t="str" cm="1">
        <f t="array" ref="T95">_xlfn._xlws.FILTER(D$5:$R$5, D95:R95=MIN(D95:R95))</f>
        <v>vendor 9</v>
      </c>
    </row>
    <row r="96" spans="1:20">
      <c r="A96" s="113">
        <v>78</v>
      </c>
      <c r="B96" s="213" t="s">
        <v>376</v>
      </c>
      <c r="C96" s="187"/>
      <c r="D96" s="138"/>
      <c r="E96" s="138"/>
      <c r="F96" s="138"/>
      <c r="G96" s="138"/>
      <c r="H96" s="138"/>
      <c r="I96" s="138">
        <v>247.25</v>
      </c>
      <c r="J96" s="138"/>
      <c r="K96" s="138"/>
      <c r="L96" s="141">
        <v>120</v>
      </c>
      <c r="M96" s="141">
        <v>250</v>
      </c>
      <c r="N96" s="138">
        <v>350</v>
      </c>
      <c r="O96" s="138"/>
      <c r="P96" s="138">
        <v>250</v>
      </c>
      <c r="Q96" s="138">
        <v>250</v>
      </c>
      <c r="R96" s="189">
        <v>520</v>
      </c>
      <c r="S96" s="88">
        <f t="shared" si="2"/>
        <v>120</v>
      </c>
      <c r="T96" s="226" t="str" cm="1">
        <f t="array" ref="T96">_xlfn._xlws.FILTER(D$5:$R$5, D96:R96=MIN(D96:R96))</f>
        <v>vendor 9</v>
      </c>
    </row>
    <row r="97" spans="1:20">
      <c r="A97" s="113">
        <v>79</v>
      </c>
      <c r="B97" s="213" t="s">
        <v>377</v>
      </c>
      <c r="C97" s="187"/>
      <c r="D97" s="138"/>
      <c r="E97" s="138"/>
      <c r="F97" s="138"/>
      <c r="G97" s="138"/>
      <c r="H97" s="138"/>
      <c r="I97" s="138">
        <v>253</v>
      </c>
      <c r="J97" s="138"/>
      <c r="K97" s="138"/>
      <c r="L97" s="141">
        <v>125</v>
      </c>
      <c r="M97" s="141">
        <v>250</v>
      </c>
      <c r="N97" s="138">
        <v>400</v>
      </c>
      <c r="O97" s="138"/>
      <c r="P97" s="138">
        <v>253</v>
      </c>
      <c r="Q97" s="138">
        <v>255</v>
      </c>
      <c r="R97" s="189">
        <v>590</v>
      </c>
      <c r="S97" s="88">
        <f t="shared" ref="S97:S128" si="3">MIN(D97:R97)</f>
        <v>125</v>
      </c>
      <c r="T97" s="226" t="str" cm="1">
        <f t="array" ref="T97">_xlfn._xlws.FILTER(D$5:$R$5, D97:R97=MIN(D97:R97))</f>
        <v>vendor 9</v>
      </c>
    </row>
    <row r="98" spans="1:20">
      <c r="A98" s="113">
        <v>80</v>
      </c>
      <c r="B98" s="213" t="s">
        <v>378</v>
      </c>
      <c r="C98" s="187"/>
      <c r="D98" s="138"/>
      <c r="E98" s="138"/>
      <c r="F98" s="138"/>
      <c r="G98" s="138"/>
      <c r="H98" s="138"/>
      <c r="I98" s="138">
        <v>253</v>
      </c>
      <c r="J98" s="138"/>
      <c r="K98" s="138"/>
      <c r="L98" s="141">
        <v>125</v>
      </c>
      <c r="M98" s="141">
        <v>250</v>
      </c>
      <c r="N98" s="138">
        <v>400</v>
      </c>
      <c r="O98" s="138"/>
      <c r="P98" s="138">
        <v>253</v>
      </c>
      <c r="Q98" s="138">
        <v>255</v>
      </c>
      <c r="R98" s="189">
        <v>590</v>
      </c>
      <c r="S98" s="88">
        <f t="shared" si="3"/>
        <v>125</v>
      </c>
      <c r="T98" s="226" t="str" cm="1">
        <f t="array" ref="T98">_xlfn._xlws.FILTER(D$5:$R$5, D98:R98=MIN(D98:R98))</f>
        <v>vendor 9</v>
      </c>
    </row>
    <row r="99" spans="1:20">
      <c r="A99" s="113">
        <v>81</v>
      </c>
      <c r="B99" s="213" t="s">
        <v>379</v>
      </c>
      <c r="C99" s="187"/>
      <c r="D99" s="138"/>
      <c r="E99" s="138"/>
      <c r="F99" s="138"/>
      <c r="G99" s="138"/>
      <c r="H99" s="138"/>
      <c r="I99" s="138">
        <v>253</v>
      </c>
      <c r="J99" s="138"/>
      <c r="K99" s="138"/>
      <c r="L99" s="141">
        <v>125</v>
      </c>
      <c r="M99" s="141">
        <v>250</v>
      </c>
      <c r="N99" s="138">
        <v>400</v>
      </c>
      <c r="O99" s="138"/>
      <c r="P99" s="138">
        <v>253</v>
      </c>
      <c r="Q99" s="138">
        <v>255</v>
      </c>
      <c r="R99" s="189">
        <v>590</v>
      </c>
      <c r="S99" s="88">
        <f t="shared" si="3"/>
        <v>125</v>
      </c>
      <c r="T99" s="226" t="str" cm="1">
        <f t="array" ref="T99">_xlfn._xlws.FILTER(D$5:$R$5, D99:R99=MIN(D99:R99))</f>
        <v>vendor 9</v>
      </c>
    </row>
    <row r="100" spans="1:20">
      <c r="A100" s="113">
        <v>82</v>
      </c>
      <c r="B100" s="213" t="s">
        <v>380</v>
      </c>
      <c r="C100" s="187"/>
      <c r="D100" s="138"/>
      <c r="E100" s="138"/>
      <c r="F100" s="138"/>
      <c r="G100" s="138"/>
      <c r="H100" s="138"/>
      <c r="I100" s="138">
        <v>253</v>
      </c>
      <c r="J100" s="138"/>
      <c r="K100" s="138"/>
      <c r="L100" s="141">
        <v>125</v>
      </c>
      <c r="M100" s="141">
        <v>250</v>
      </c>
      <c r="N100" s="138">
        <v>400</v>
      </c>
      <c r="O100" s="138"/>
      <c r="P100" s="138">
        <v>253</v>
      </c>
      <c r="Q100" s="138">
        <v>255</v>
      </c>
      <c r="R100" s="189">
        <v>590</v>
      </c>
      <c r="S100" s="88">
        <f t="shared" si="3"/>
        <v>125</v>
      </c>
      <c r="T100" s="226" t="str" cm="1">
        <f t="array" ref="T100">_xlfn._xlws.FILTER(D$5:$R$5, D100:R100=MIN(D100:R100))</f>
        <v>vendor 9</v>
      </c>
    </row>
    <row r="101" spans="1:20">
      <c r="A101" s="113">
        <v>83</v>
      </c>
      <c r="B101" s="213" t="s">
        <v>381</v>
      </c>
      <c r="C101" s="187"/>
      <c r="D101" s="138"/>
      <c r="E101" s="138"/>
      <c r="F101" s="138"/>
      <c r="G101" s="138"/>
      <c r="H101" s="138"/>
      <c r="I101" s="138">
        <v>264.5</v>
      </c>
      <c r="J101" s="138"/>
      <c r="K101" s="138"/>
      <c r="L101" s="141">
        <v>120</v>
      </c>
      <c r="M101" s="141">
        <v>250</v>
      </c>
      <c r="N101" s="138">
        <v>400</v>
      </c>
      <c r="O101" s="138"/>
      <c r="P101" s="138">
        <v>265</v>
      </c>
      <c r="Q101" s="138">
        <v>240</v>
      </c>
      <c r="R101" s="189">
        <v>520</v>
      </c>
      <c r="S101" s="88">
        <f t="shared" si="3"/>
        <v>120</v>
      </c>
      <c r="T101" s="226" t="str" cm="1">
        <f t="array" ref="T101">_xlfn._xlws.FILTER(D$5:$R$5, D101:R101=MIN(D101:R101))</f>
        <v>vendor 9</v>
      </c>
    </row>
    <row r="102" spans="1:20">
      <c r="A102" s="113">
        <v>84</v>
      </c>
      <c r="B102" s="213" t="s">
        <v>382</v>
      </c>
      <c r="C102" s="187"/>
      <c r="D102" s="138"/>
      <c r="E102" s="138"/>
      <c r="F102" s="138"/>
      <c r="G102" s="138"/>
      <c r="H102" s="138"/>
      <c r="I102" s="138">
        <v>264.5</v>
      </c>
      <c r="J102" s="138"/>
      <c r="K102" s="138"/>
      <c r="L102" s="141">
        <v>120</v>
      </c>
      <c r="M102" s="141">
        <v>250</v>
      </c>
      <c r="N102" s="138">
        <v>400</v>
      </c>
      <c r="O102" s="138"/>
      <c r="P102" s="138">
        <v>265</v>
      </c>
      <c r="Q102" s="138">
        <v>240</v>
      </c>
      <c r="R102" s="189">
        <v>520</v>
      </c>
      <c r="S102" s="88">
        <f t="shared" si="3"/>
        <v>120</v>
      </c>
      <c r="T102" s="226" t="str" cm="1">
        <f t="array" ref="T102">_xlfn._xlws.FILTER(D$5:$R$5, D102:R102=MIN(D102:R102))</f>
        <v>vendor 9</v>
      </c>
    </row>
    <row r="103" spans="1:20">
      <c r="A103" s="113">
        <v>85</v>
      </c>
      <c r="B103" s="213" t="s">
        <v>383</v>
      </c>
      <c r="C103" s="187"/>
      <c r="D103" s="138"/>
      <c r="E103" s="138"/>
      <c r="F103" s="138"/>
      <c r="G103" s="138"/>
      <c r="H103" s="138"/>
      <c r="I103" s="138">
        <v>264.5</v>
      </c>
      <c r="J103" s="138"/>
      <c r="K103" s="138"/>
      <c r="L103" s="141">
        <v>120</v>
      </c>
      <c r="M103" s="141">
        <v>250</v>
      </c>
      <c r="N103" s="138">
        <v>400</v>
      </c>
      <c r="O103" s="138"/>
      <c r="P103" s="138">
        <v>265</v>
      </c>
      <c r="Q103" s="138">
        <v>240</v>
      </c>
      <c r="R103" s="189">
        <v>520</v>
      </c>
      <c r="S103" s="88">
        <f t="shared" si="3"/>
        <v>120</v>
      </c>
      <c r="T103" s="226" t="str" cm="1">
        <f t="array" ref="T103">_xlfn._xlws.FILTER(D$5:$R$5, D103:R103=MIN(D103:R103))</f>
        <v>vendor 9</v>
      </c>
    </row>
    <row r="104" spans="1:20">
      <c r="A104" s="113">
        <v>86</v>
      </c>
      <c r="B104" s="213" t="s">
        <v>384</v>
      </c>
      <c r="C104" s="187"/>
      <c r="D104" s="138"/>
      <c r="E104" s="138"/>
      <c r="F104" s="138"/>
      <c r="G104" s="138"/>
      <c r="H104" s="138"/>
      <c r="I104" s="138">
        <v>264.5</v>
      </c>
      <c r="J104" s="138"/>
      <c r="K104" s="138"/>
      <c r="L104" s="141">
        <v>120</v>
      </c>
      <c r="M104" s="141">
        <v>250</v>
      </c>
      <c r="N104" s="138">
        <v>400</v>
      </c>
      <c r="O104" s="138"/>
      <c r="P104" s="138">
        <v>265</v>
      </c>
      <c r="Q104" s="138">
        <v>240</v>
      </c>
      <c r="R104" s="189">
        <v>520</v>
      </c>
      <c r="S104" s="88">
        <f t="shared" si="3"/>
        <v>120</v>
      </c>
      <c r="T104" s="226" t="str" cm="1">
        <f t="array" ref="T104">_xlfn._xlws.FILTER(D$5:$R$5, D104:R104=MIN(D104:R104))</f>
        <v>vendor 9</v>
      </c>
    </row>
    <row r="105" spans="1:20">
      <c r="A105" s="113">
        <v>87</v>
      </c>
      <c r="B105" s="213" t="s">
        <v>385</v>
      </c>
      <c r="C105" s="187"/>
      <c r="D105" s="138"/>
      <c r="E105" s="138"/>
      <c r="F105" s="138"/>
      <c r="G105" s="138"/>
      <c r="H105" s="138"/>
      <c r="I105" s="138">
        <v>270.25</v>
      </c>
      <c r="J105" s="138"/>
      <c r="K105" s="138"/>
      <c r="L105" s="141">
        <v>125</v>
      </c>
      <c r="M105" s="141">
        <v>250</v>
      </c>
      <c r="N105" s="138">
        <v>450</v>
      </c>
      <c r="O105" s="138"/>
      <c r="P105" s="138">
        <v>271</v>
      </c>
      <c r="Q105" s="138">
        <v>250</v>
      </c>
      <c r="R105" s="189">
        <v>590</v>
      </c>
      <c r="S105" s="88">
        <f t="shared" si="3"/>
        <v>125</v>
      </c>
      <c r="T105" s="226" t="str" cm="1">
        <f t="array" ref="T105">_xlfn._xlws.FILTER(D$5:$R$5, D105:R105=MIN(D105:R105))</f>
        <v>vendor 9</v>
      </c>
    </row>
    <row r="106" spans="1:20">
      <c r="A106" s="113">
        <v>88</v>
      </c>
      <c r="B106" s="213" t="s">
        <v>386</v>
      </c>
      <c r="C106" s="187"/>
      <c r="D106" s="138"/>
      <c r="E106" s="138"/>
      <c r="F106" s="138"/>
      <c r="G106" s="138"/>
      <c r="H106" s="138"/>
      <c r="I106" s="138">
        <v>270.25</v>
      </c>
      <c r="J106" s="138"/>
      <c r="K106" s="138"/>
      <c r="L106" s="141">
        <v>125</v>
      </c>
      <c r="M106" s="141">
        <v>250</v>
      </c>
      <c r="N106" s="138">
        <v>450</v>
      </c>
      <c r="O106" s="138"/>
      <c r="P106" s="138">
        <v>271</v>
      </c>
      <c r="Q106" s="138">
        <v>250</v>
      </c>
      <c r="R106" s="189">
        <v>590</v>
      </c>
      <c r="S106" s="88">
        <f t="shared" si="3"/>
        <v>125</v>
      </c>
      <c r="T106" s="226" t="str" cm="1">
        <f t="array" ref="T106">_xlfn._xlws.FILTER(D$5:$R$5, D106:R106=MIN(D106:R106))</f>
        <v>vendor 9</v>
      </c>
    </row>
    <row r="107" spans="1:20">
      <c r="A107" s="113">
        <v>89</v>
      </c>
      <c r="B107" s="213" t="s">
        <v>387</v>
      </c>
      <c r="C107" s="187"/>
      <c r="D107" s="138"/>
      <c r="E107" s="138"/>
      <c r="F107" s="138"/>
      <c r="G107" s="138"/>
      <c r="H107" s="138"/>
      <c r="I107" s="138">
        <v>270.25</v>
      </c>
      <c r="J107" s="138"/>
      <c r="K107" s="138"/>
      <c r="L107" s="141">
        <v>125</v>
      </c>
      <c r="M107" s="141">
        <v>250</v>
      </c>
      <c r="N107" s="138">
        <v>450</v>
      </c>
      <c r="O107" s="138"/>
      <c r="P107" s="138">
        <v>271</v>
      </c>
      <c r="Q107" s="138">
        <v>250</v>
      </c>
      <c r="R107" s="189">
        <v>590</v>
      </c>
      <c r="S107" s="88">
        <f t="shared" si="3"/>
        <v>125</v>
      </c>
      <c r="T107" s="226" t="str" cm="1">
        <f t="array" ref="T107">_xlfn._xlws.FILTER(D$5:$R$5, D107:R107=MIN(D107:R107))</f>
        <v>vendor 9</v>
      </c>
    </row>
    <row r="108" spans="1:20">
      <c r="A108" s="113">
        <v>90</v>
      </c>
      <c r="B108" s="213" t="s">
        <v>388</v>
      </c>
      <c r="C108" s="187"/>
      <c r="D108" s="138"/>
      <c r="E108" s="138"/>
      <c r="F108" s="138"/>
      <c r="G108" s="138"/>
      <c r="H108" s="138"/>
      <c r="I108" s="138">
        <v>270.25</v>
      </c>
      <c r="J108" s="138"/>
      <c r="K108" s="138"/>
      <c r="L108" s="141">
        <v>125</v>
      </c>
      <c r="M108" s="141">
        <v>250</v>
      </c>
      <c r="N108" s="138">
        <v>450</v>
      </c>
      <c r="O108" s="138"/>
      <c r="P108" s="138">
        <v>271</v>
      </c>
      <c r="Q108" s="138">
        <v>250</v>
      </c>
      <c r="R108" s="189">
        <v>590</v>
      </c>
      <c r="S108" s="88">
        <f t="shared" si="3"/>
        <v>125</v>
      </c>
      <c r="T108" s="226" t="str" cm="1">
        <f t="array" ref="T108">_xlfn._xlws.FILTER(D$5:$R$5, D108:R108=MIN(D108:R108))</f>
        <v>vendor 9</v>
      </c>
    </row>
    <row r="109" spans="1:20">
      <c r="A109" s="113"/>
      <c r="B109" s="213" t="s">
        <v>389</v>
      </c>
      <c r="C109" s="187"/>
      <c r="D109" s="138"/>
      <c r="E109" s="138"/>
      <c r="F109" s="138"/>
      <c r="G109" s="138"/>
      <c r="H109" s="138"/>
      <c r="I109" s="138">
        <v>302.45</v>
      </c>
      <c r="J109" s="138"/>
      <c r="K109" s="138"/>
      <c r="L109" s="138"/>
      <c r="M109" s="138">
        <v>50</v>
      </c>
      <c r="N109" s="138">
        <v>500</v>
      </c>
      <c r="O109" s="138"/>
      <c r="P109" s="138">
        <v>33</v>
      </c>
      <c r="Q109" s="138">
        <v>35</v>
      </c>
      <c r="R109" s="187"/>
      <c r="S109" s="88">
        <f t="shared" si="3"/>
        <v>33</v>
      </c>
      <c r="T109" s="307" t="s">
        <v>390</v>
      </c>
    </row>
    <row r="110" spans="1:20">
      <c r="A110" s="113"/>
      <c r="B110" s="213" t="s">
        <v>391</v>
      </c>
      <c r="C110" s="187"/>
      <c r="D110" s="138"/>
      <c r="E110" s="138"/>
      <c r="F110" s="138"/>
      <c r="G110" s="138"/>
      <c r="H110" s="138"/>
      <c r="I110" s="138">
        <v>302.45</v>
      </c>
      <c r="J110" s="138"/>
      <c r="K110" s="138"/>
      <c r="L110" s="138">
        <v>25</v>
      </c>
      <c r="M110" s="138">
        <v>50</v>
      </c>
      <c r="N110" s="138">
        <v>500</v>
      </c>
      <c r="O110" s="138"/>
      <c r="P110" s="138">
        <v>33</v>
      </c>
      <c r="Q110" s="138">
        <v>35</v>
      </c>
      <c r="R110" s="187"/>
      <c r="S110" s="88">
        <f t="shared" si="3"/>
        <v>25</v>
      </c>
      <c r="T110" s="308"/>
    </row>
    <row r="111" spans="1:20">
      <c r="A111" s="113"/>
      <c r="B111" s="213" t="s">
        <v>392</v>
      </c>
      <c r="C111" s="187"/>
      <c r="D111" s="138"/>
      <c r="E111" s="138"/>
      <c r="F111" s="138"/>
      <c r="G111" s="138"/>
      <c r="H111" s="138"/>
      <c r="I111" s="138">
        <v>302.45</v>
      </c>
      <c r="J111" s="138"/>
      <c r="K111" s="138"/>
      <c r="L111" s="138">
        <v>25</v>
      </c>
      <c r="M111" s="138">
        <v>50</v>
      </c>
      <c r="N111" s="138">
        <v>500</v>
      </c>
      <c r="O111" s="138"/>
      <c r="P111" s="138">
        <v>33</v>
      </c>
      <c r="Q111" s="138">
        <v>35</v>
      </c>
      <c r="R111" s="187"/>
      <c r="S111" s="88">
        <f t="shared" si="3"/>
        <v>25</v>
      </c>
      <c r="T111" s="309"/>
    </row>
    <row r="112" spans="1:20" s="174" customFormat="1">
      <c r="A112" s="325">
        <v>91</v>
      </c>
      <c r="B112" s="326" t="s">
        <v>393</v>
      </c>
      <c r="C112" s="187" t="s">
        <v>394</v>
      </c>
      <c r="D112" s="138"/>
      <c r="E112" s="138"/>
      <c r="F112" s="138"/>
      <c r="G112" s="138"/>
      <c r="H112" s="138"/>
      <c r="I112" s="138">
        <v>5.75</v>
      </c>
      <c r="J112" s="138"/>
      <c r="K112" s="138">
        <v>5</v>
      </c>
      <c r="L112" s="138">
        <v>4.8499999999999996</v>
      </c>
      <c r="M112" s="138">
        <v>3</v>
      </c>
      <c r="N112" s="141">
        <v>2.5</v>
      </c>
      <c r="O112" s="138"/>
      <c r="P112" s="138">
        <v>6</v>
      </c>
      <c r="Q112" s="138">
        <v>15</v>
      </c>
      <c r="R112" s="187"/>
      <c r="S112" s="88">
        <f t="shared" si="3"/>
        <v>2.5</v>
      </c>
      <c r="T112" s="226" t="str" cm="1">
        <f t="array" ref="T112">_xlfn._xlws.FILTER(D$5:$R$5, D112:R112=MIN(D112:R112))</f>
        <v>vendor 11</v>
      </c>
    </row>
    <row r="113" spans="1:25">
      <c r="A113" s="327"/>
      <c r="B113" s="328"/>
      <c r="C113" s="187" t="s">
        <v>332</v>
      </c>
      <c r="D113" s="138"/>
      <c r="E113" s="138"/>
      <c r="F113" s="138"/>
      <c r="G113" s="138"/>
      <c r="H113" s="138">
        <v>2.7</v>
      </c>
      <c r="I113" s="138">
        <v>4.5999999999999996</v>
      </c>
      <c r="J113" s="138"/>
      <c r="K113" s="138">
        <v>2.5</v>
      </c>
      <c r="L113" s="138">
        <v>3.94</v>
      </c>
      <c r="M113" s="141">
        <v>2</v>
      </c>
      <c r="N113" s="138">
        <v>2.2000000000000002</v>
      </c>
      <c r="O113" s="138"/>
      <c r="P113" s="138">
        <v>5</v>
      </c>
      <c r="Q113" s="138">
        <v>9</v>
      </c>
      <c r="R113" s="187"/>
      <c r="S113" s="88">
        <f t="shared" si="3"/>
        <v>2</v>
      </c>
      <c r="T113" s="226" t="str" cm="1">
        <f t="array" ref="T113">_xlfn._xlws.FILTER(D$5:$R$5, D113:R113=MIN(D113:R113))</f>
        <v>vendor 10</v>
      </c>
    </row>
    <row r="114" spans="1:25">
      <c r="A114" s="214">
        <v>92</v>
      </c>
      <c r="B114" s="215" t="s">
        <v>395</v>
      </c>
      <c r="C114" s="187" t="s">
        <v>396</v>
      </c>
      <c r="D114" s="138"/>
      <c r="E114" s="138"/>
      <c r="F114" s="138"/>
      <c r="G114" s="138"/>
      <c r="H114" s="138"/>
      <c r="I114" s="138">
        <v>23</v>
      </c>
      <c r="J114" s="138"/>
      <c r="K114" s="141">
        <v>20</v>
      </c>
      <c r="L114" s="138">
        <v>25.5</v>
      </c>
      <c r="M114" s="141">
        <v>20</v>
      </c>
      <c r="N114" s="138">
        <v>25</v>
      </c>
      <c r="O114" s="138"/>
      <c r="P114" s="138">
        <v>23</v>
      </c>
      <c r="Q114" s="138">
        <v>35</v>
      </c>
      <c r="R114" s="189" t="s">
        <v>397</v>
      </c>
      <c r="S114" s="88">
        <f t="shared" si="3"/>
        <v>20</v>
      </c>
      <c r="T114" s="226" t="s">
        <v>63</v>
      </c>
      <c r="X114" s="137" t="s">
        <v>398</v>
      </c>
      <c r="Y114" s="137" t="str">
        <f>+T114&amp;X114&amp;U114</f>
        <v>vendor 15/</v>
      </c>
    </row>
    <row r="115" spans="1:25">
      <c r="A115" s="310"/>
      <c r="B115" s="311" t="s">
        <v>399</v>
      </c>
      <c r="C115" s="187" t="s">
        <v>400</v>
      </c>
      <c r="D115" s="138"/>
      <c r="E115" s="138"/>
      <c r="F115" s="138"/>
      <c r="G115" s="138"/>
      <c r="H115" s="138"/>
      <c r="I115" s="138">
        <v>23</v>
      </c>
      <c r="J115" s="138"/>
      <c r="K115" s="138">
        <v>20</v>
      </c>
      <c r="L115" s="138">
        <v>23</v>
      </c>
      <c r="M115" s="138">
        <v>20</v>
      </c>
      <c r="N115" s="138">
        <v>23</v>
      </c>
      <c r="O115" s="138"/>
      <c r="P115" s="141">
        <v>19.55</v>
      </c>
      <c r="Q115" s="138">
        <v>30</v>
      </c>
      <c r="R115" s="187" t="s">
        <v>397</v>
      </c>
      <c r="S115" s="88">
        <f t="shared" si="3"/>
        <v>19.55</v>
      </c>
      <c r="T115" s="226" t="str" cm="1">
        <f t="array" ref="T115">_xlfn._xlws.FILTER(D$5:$R$5, D115:R115=MIN(D115:R115))</f>
        <v>vendor 13</v>
      </c>
    </row>
    <row r="116" spans="1:25">
      <c r="A116" s="310"/>
      <c r="B116" s="311"/>
      <c r="C116" s="187" t="s">
        <v>332</v>
      </c>
      <c r="D116" s="138"/>
      <c r="E116" s="138"/>
      <c r="F116" s="138"/>
      <c r="G116" s="138"/>
      <c r="H116" s="138"/>
      <c r="I116" s="138">
        <v>19.55</v>
      </c>
      <c r="J116" s="138"/>
      <c r="K116" s="138">
        <v>20</v>
      </c>
      <c r="L116" s="141">
        <v>14.6</v>
      </c>
      <c r="M116" s="138">
        <v>15</v>
      </c>
      <c r="N116" s="138">
        <v>21</v>
      </c>
      <c r="O116" s="138"/>
      <c r="P116" s="138">
        <v>19</v>
      </c>
      <c r="Q116" s="138">
        <v>26</v>
      </c>
      <c r="R116" s="187" t="s">
        <v>397</v>
      </c>
      <c r="S116" s="88">
        <f t="shared" si="3"/>
        <v>14.6</v>
      </c>
      <c r="T116" s="226" t="str" cm="1">
        <f t="array" ref="T116">_xlfn._xlws.FILTER(D$5:$R$5, D116:R116=MIN(D116:R116))</f>
        <v>vendor 9</v>
      </c>
    </row>
    <row r="117" spans="1:25">
      <c r="A117" s="310"/>
      <c r="B117" s="311"/>
      <c r="C117" s="187" t="s">
        <v>401</v>
      </c>
      <c r="D117" s="138"/>
      <c r="E117" s="138"/>
      <c r="F117" s="138"/>
      <c r="G117" s="138"/>
      <c r="H117" s="138"/>
      <c r="I117" s="138">
        <v>18.399999999999999</v>
      </c>
      <c r="J117" s="138"/>
      <c r="K117" s="138">
        <v>15</v>
      </c>
      <c r="L117" s="141">
        <v>11.45</v>
      </c>
      <c r="M117" s="138">
        <v>12</v>
      </c>
      <c r="N117" s="138">
        <v>20</v>
      </c>
      <c r="O117" s="138"/>
      <c r="P117" s="138">
        <v>18</v>
      </c>
      <c r="Q117" s="138">
        <v>24</v>
      </c>
      <c r="R117" s="187" t="s">
        <v>397</v>
      </c>
      <c r="S117" s="88">
        <f t="shared" si="3"/>
        <v>11.45</v>
      </c>
      <c r="T117" s="226" t="str" cm="1">
        <f t="array" ref="T117">_xlfn._xlws.FILTER(D$5:$R$5, D117:R117=MIN(D117:R117))</f>
        <v>vendor 9</v>
      </c>
    </row>
    <row r="118" spans="1:25">
      <c r="A118" s="210"/>
      <c r="B118" s="216"/>
      <c r="C118" s="187" t="s">
        <v>402</v>
      </c>
      <c r="D118" s="138"/>
      <c r="E118" s="138"/>
      <c r="F118" s="138"/>
      <c r="G118" s="138"/>
      <c r="H118" s="138"/>
      <c r="I118" s="138">
        <v>17.25</v>
      </c>
      <c r="J118" s="138"/>
      <c r="K118" s="138">
        <v>15</v>
      </c>
      <c r="L118" s="141">
        <v>9.68</v>
      </c>
      <c r="M118" s="138">
        <v>12</v>
      </c>
      <c r="N118" s="138">
        <v>18</v>
      </c>
      <c r="O118" s="138"/>
      <c r="P118" s="138">
        <v>17</v>
      </c>
      <c r="Q118" s="138">
        <v>22</v>
      </c>
      <c r="R118" s="187" t="s">
        <v>397</v>
      </c>
      <c r="S118" s="88">
        <f t="shared" si="3"/>
        <v>9.68</v>
      </c>
      <c r="T118" s="226" t="str" cm="1">
        <f t="array" ref="T118">_xlfn._xlws.FILTER(D$5:$R$5, D118:R118=MIN(D118:R118))</f>
        <v>vendor 9</v>
      </c>
    </row>
    <row r="119" spans="1:25">
      <c r="A119" s="214">
        <v>93</v>
      </c>
      <c r="B119" s="215" t="s">
        <v>403</v>
      </c>
      <c r="C119" s="187" t="s">
        <v>396</v>
      </c>
      <c r="D119" s="138"/>
      <c r="E119" s="138"/>
      <c r="F119" s="138"/>
      <c r="G119" s="138"/>
      <c r="H119" s="138"/>
      <c r="I119" s="138">
        <v>12.65</v>
      </c>
      <c r="J119" s="138"/>
      <c r="K119" s="138">
        <v>15</v>
      </c>
      <c r="L119" s="138">
        <v>15.94</v>
      </c>
      <c r="M119" s="141">
        <v>8</v>
      </c>
      <c r="N119" s="138">
        <v>12.5</v>
      </c>
      <c r="O119" s="138"/>
      <c r="P119" s="138">
        <v>12.65</v>
      </c>
      <c r="Q119" s="138">
        <v>25</v>
      </c>
      <c r="R119" s="189" t="s">
        <v>397</v>
      </c>
      <c r="S119" s="88">
        <f t="shared" si="3"/>
        <v>8</v>
      </c>
      <c r="T119" s="226" t="str" cm="1">
        <f t="array" ref="T119">_xlfn._xlws.FILTER(D$5:$R$5, D119:R119=MIN(D119:R119))</f>
        <v>vendor 10</v>
      </c>
    </row>
    <row r="120" spans="1:25">
      <c r="A120" s="210"/>
      <c r="B120" s="164" t="s">
        <v>399</v>
      </c>
      <c r="C120" s="187" t="s">
        <v>400</v>
      </c>
      <c r="D120" s="138"/>
      <c r="E120" s="138"/>
      <c r="F120" s="138"/>
      <c r="G120" s="138"/>
      <c r="H120" s="138"/>
      <c r="I120" s="138">
        <v>12.65</v>
      </c>
      <c r="J120" s="138"/>
      <c r="K120" s="138">
        <v>15</v>
      </c>
      <c r="L120" s="138">
        <v>14.8</v>
      </c>
      <c r="M120" s="138">
        <v>8</v>
      </c>
      <c r="N120" s="138">
        <v>11.5</v>
      </c>
      <c r="O120" s="138"/>
      <c r="P120" s="138">
        <v>12</v>
      </c>
      <c r="Q120" s="138">
        <v>22</v>
      </c>
      <c r="R120" s="187" t="s">
        <v>397</v>
      </c>
      <c r="S120" s="88">
        <f t="shared" si="3"/>
        <v>8</v>
      </c>
      <c r="T120" s="226" t="str" cm="1">
        <f t="array" ref="T120">_xlfn._xlws.FILTER(D$5:$R$5, D120:R120=MIN(D120:R120))</f>
        <v>vendor 10</v>
      </c>
    </row>
    <row r="121" spans="1:25">
      <c r="A121" s="210"/>
      <c r="B121" s="164"/>
      <c r="C121" s="187" t="s">
        <v>332</v>
      </c>
      <c r="D121" s="138"/>
      <c r="E121" s="138"/>
      <c r="F121" s="138"/>
      <c r="G121" s="138"/>
      <c r="H121" s="138"/>
      <c r="I121" s="138">
        <v>12.65</v>
      </c>
      <c r="J121" s="138"/>
      <c r="K121" s="138">
        <v>15</v>
      </c>
      <c r="L121" s="138">
        <v>10.24</v>
      </c>
      <c r="M121" s="138">
        <v>6</v>
      </c>
      <c r="N121" s="138">
        <v>10.5</v>
      </c>
      <c r="O121" s="138"/>
      <c r="P121" s="138">
        <v>11.5</v>
      </c>
      <c r="Q121" s="138">
        <v>20</v>
      </c>
      <c r="R121" s="187" t="s">
        <v>397</v>
      </c>
      <c r="S121" s="88">
        <f t="shared" si="3"/>
        <v>6</v>
      </c>
      <c r="T121" s="226" t="str" cm="1">
        <f t="array" ref="T121">_xlfn._xlws.FILTER(D$5:$R$5, D121:R121=MIN(D121:R121))</f>
        <v>vendor 10</v>
      </c>
    </row>
    <row r="122" spans="1:25">
      <c r="A122" s="210"/>
      <c r="B122" s="216"/>
      <c r="C122" s="187" t="s">
        <v>401</v>
      </c>
      <c r="D122" s="138"/>
      <c r="E122" s="138"/>
      <c r="F122" s="138"/>
      <c r="G122" s="138"/>
      <c r="H122" s="138"/>
      <c r="I122" s="138">
        <v>11.5</v>
      </c>
      <c r="J122" s="138"/>
      <c r="K122" s="138">
        <v>10</v>
      </c>
      <c r="L122" s="138">
        <v>9.58</v>
      </c>
      <c r="M122" s="138">
        <v>6</v>
      </c>
      <c r="N122" s="138">
        <v>10</v>
      </c>
      <c r="O122" s="138"/>
      <c r="P122" s="138">
        <v>11.5</v>
      </c>
      <c r="Q122" s="138">
        <v>18</v>
      </c>
      <c r="R122" s="187" t="s">
        <v>397</v>
      </c>
      <c r="S122" s="88">
        <f t="shared" si="3"/>
        <v>6</v>
      </c>
      <c r="T122" s="226" t="str" cm="1">
        <f t="array" ref="T122">_xlfn._xlws.FILTER(D$5:$R$5, D122:R122=MIN(D122:R122))</f>
        <v>vendor 10</v>
      </c>
    </row>
    <row r="123" spans="1:25">
      <c r="A123" s="210"/>
      <c r="B123" s="164"/>
      <c r="C123" s="187" t="s">
        <v>402</v>
      </c>
      <c r="D123" s="138"/>
      <c r="E123" s="138"/>
      <c r="F123" s="138"/>
      <c r="G123" s="138"/>
      <c r="H123" s="138"/>
      <c r="I123" s="138">
        <v>10.35</v>
      </c>
      <c r="J123" s="138"/>
      <c r="K123" s="138">
        <v>10</v>
      </c>
      <c r="L123" s="138">
        <v>7.82</v>
      </c>
      <c r="M123" s="138">
        <v>6</v>
      </c>
      <c r="N123" s="138">
        <v>9</v>
      </c>
      <c r="O123" s="138"/>
      <c r="P123" s="138">
        <v>10.5</v>
      </c>
      <c r="Q123" s="138">
        <v>15</v>
      </c>
      <c r="R123" s="187" t="s">
        <v>397</v>
      </c>
      <c r="S123" s="88">
        <f t="shared" si="3"/>
        <v>6</v>
      </c>
      <c r="T123" s="226" t="str" cm="1">
        <f t="array" ref="T123">_xlfn._xlws.FILTER(D$5:$R$5, D123:R123=MIN(D123:R123))</f>
        <v>vendor 10</v>
      </c>
    </row>
    <row r="124" spans="1:25">
      <c r="A124" s="214">
        <v>94</v>
      </c>
      <c r="B124" s="215" t="s">
        <v>404</v>
      </c>
      <c r="C124" s="187" t="s">
        <v>396</v>
      </c>
      <c r="D124" s="138"/>
      <c r="E124" s="138"/>
      <c r="F124" s="138"/>
      <c r="G124" s="138"/>
      <c r="H124" s="138"/>
      <c r="I124" s="138">
        <v>46</v>
      </c>
      <c r="J124" s="138"/>
      <c r="K124" s="138">
        <v>30</v>
      </c>
      <c r="L124" s="138">
        <v>36.4</v>
      </c>
      <c r="M124" s="141">
        <v>24</v>
      </c>
      <c r="N124" s="138">
        <v>50</v>
      </c>
      <c r="O124" s="138"/>
      <c r="P124" s="138">
        <v>46</v>
      </c>
      <c r="Q124" s="138">
        <v>55</v>
      </c>
      <c r="R124" s="189" t="s">
        <v>397</v>
      </c>
      <c r="S124" s="88">
        <f t="shared" si="3"/>
        <v>24</v>
      </c>
      <c r="T124" s="226" t="str" cm="1">
        <f t="array" ref="T124">_xlfn._xlws.FILTER(D$5:$R$5, D124:R124=MIN(D124:R124))</f>
        <v>vendor 10</v>
      </c>
    </row>
    <row r="125" spans="1:25">
      <c r="A125" s="210"/>
      <c r="B125" s="216" t="s">
        <v>399</v>
      </c>
      <c r="C125" s="187" t="s">
        <v>400</v>
      </c>
      <c r="D125" s="138"/>
      <c r="E125" s="138"/>
      <c r="F125" s="138"/>
      <c r="G125" s="138"/>
      <c r="H125" s="138"/>
      <c r="I125" s="138">
        <v>46</v>
      </c>
      <c r="J125" s="138"/>
      <c r="K125" s="138">
        <v>30</v>
      </c>
      <c r="L125" s="138">
        <v>34</v>
      </c>
      <c r="M125" s="141">
        <v>24</v>
      </c>
      <c r="N125" s="138">
        <v>46</v>
      </c>
      <c r="O125" s="138"/>
      <c r="P125" s="138">
        <v>41</v>
      </c>
      <c r="Q125" s="138">
        <v>50</v>
      </c>
      <c r="R125" s="187" t="s">
        <v>397</v>
      </c>
      <c r="S125" s="88">
        <f t="shared" si="3"/>
        <v>24</v>
      </c>
      <c r="T125" s="226" t="str" cm="1">
        <f t="array" ref="T125">_xlfn._xlws.FILTER(D$5:$R$5, D125:R125=MIN(D125:R125))</f>
        <v>vendor 10</v>
      </c>
    </row>
    <row r="126" spans="1:25">
      <c r="A126" s="210"/>
      <c r="B126" s="216"/>
      <c r="C126" s="187" t="s">
        <v>332</v>
      </c>
      <c r="D126" s="138"/>
      <c r="E126" s="138"/>
      <c r="F126" s="138"/>
      <c r="G126" s="138"/>
      <c r="H126" s="138"/>
      <c r="I126" s="138">
        <v>40.25</v>
      </c>
      <c r="J126" s="138"/>
      <c r="K126" s="138">
        <v>30</v>
      </c>
      <c r="L126" s="141">
        <v>19.22</v>
      </c>
      <c r="M126" s="138">
        <v>24</v>
      </c>
      <c r="N126" s="138">
        <v>42</v>
      </c>
      <c r="O126" s="138"/>
      <c r="P126" s="138">
        <v>40</v>
      </c>
      <c r="Q126" s="138">
        <v>45</v>
      </c>
      <c r="R126" s="187" t="s">
        <v>397</v>
      </c>
      <c r="S126" s="88">
        <f t="shared" si="3"/>
        <v>19.22</v>
      </c>
      <c r="T126" s="226" t="str" cm="1">
        <f t="array" ref="T126">_xlfn._xlws.FILTER(D$5:$R$5, D126:R126=MIN(D126:R126))</f>
        <v>vendor 9</v>
      </c>
    </row>
    <row r="127" spans="1:25">
      <c r="A127" s="210"/>
      <c r="B127" s="216"/>
      <c r="C127" s="187" t="s">
        <v>401</v>
      </c>
      <c r="D127" s="138"/>
      <c r="E127" s="138"/>
      <c r="F127" s="138"/>
      <c r="G127" s="138"/>
      <c r="H127" s="138"/>
      <c r="I127" s="138">
        <v>36.799999999999997</v>
      </c>
      <c r="J127" s="138"/>
      <c r="K127" s="138">
        <v>25</v>
      </c>
      <c r="L127" s="141">
        <v>17.45</v>
      </c>
      <c r="M127" s="138">
        <v>24</v>
      </c>
      <c r="N127" s="138">
        <v>40</v>
      </c>
      <c r="O127" s="138"/>
      <c r="P127" s="138">
        <v>37</v>
      </c>
      <c r="Q127" s="138">
        <v>42</v>
      </c>
      <c r="R127" s="187" t="s">
        <v>397</v>
      </c>
      <c r="S127" s="88">
        <f t="shared" si="3"/>
        <v>17.45</v>
      </c>
      <c r="T127" s="226" t="str" cm="1">
        <f t="array" ref="T127">_xlfn._xlws.FILTER(D$5:$R$5, D127:R127=MIN(D127:R127))</f>
        <v>vendor 9</v>
      </c>
    </row>
    <row r="128" spans="1:25">
      <c r="A128" s="211"/>
      <c r="B128" s="217"/>
      <c r="C128" s="187" t="s">
        <v>402</v>
      </c>
      <c r="D128" s="138"/>
      <c r="E128" s="138"/>
      <c r="F128" s="138"/>
      <c r="G128" s="138"/>
      <c r="H128" s="138"/>
      <c r="I128" s="138">
        <v>34.5</v>
      </c>
      <c r="J128" s="138"/>
      <c r="K128" s="138">
        <v>25</v>
      </c>
      <c r="L128" s="141">
        <v>16.34</v>
      </c>
      <c r="M128" s="138">
        <v>24</v>
      </c>
      <c r="N128" s="138">
        <v>36</v>
      </c>
      <c r="O128" s="138"/>
      <c r="P128" s="138">
        <v>35</v>
      </c>
      <c r="Q128" s="138">
        <v>38</v>
      </c>
      <c r="R128" s="187" t="s">
        <v>397</v>
      </c>
      <c r="S128" s="88">
        <f t="shared" si="3"/>
        <v>16.34</v>
      </c>
      <c r="T128" s="226" t="str" cm="1">
        <f t="array" ref="T128">_xlfn._xlws.FILTER(D$5:$R$5, D128:R128=MIN(D128:R128))</f>
        <v>vendor 9</v>
      </c>
    </row>
    <row r="129" spans="1:20">
      <c r="A129" s="325">
        <v>95</v>
      </c>
      <c r="B129" s="329" t="s">
        <v>405</v>
      </c>
      <c r="C129" s="187" t="s">
        <v>406</v>
      </c>
      <c r="D129" s="138"/>
      <c r="E129" s="138"/>
      <c r="F129" s="138"/>
      <c r="G129" s="138"/>
      <c r="H129" s="138"/>
      <c r="I129" s="138">
        <v>17.25</v>
      </c>
      <c r="J129" s="138"/>
      <c r="K129" s="138">
        <v>18</v>
      </c>
      <c r="L129" s="138">
        <v>27.6</v>
      </c>
      <c r="M129" s="138"/>
      <c r="N129" s="138">
        <v>20</v>
      </c>
      <c r="O129" s="138"/>
      <c r="P129" s="138">
        <v>17.25</v>
      </c>
      <c r="Q129" s="138">
        <v>35</v>
      </c>
      <c r="R129" s="189">
        <v>15</v>
      </c>
      <c r="S129" s="88">
        <f t="shared" ref="S129:S160" si="4">MIN(D129:R129)</f>
        <v>15</v>
      </c>
      <c r="T129" s="226" t="str" cm="1">
        <f t="array" ref="T129">_xlfn._xlws.FILTER(D$5:$R$5, D129:R129=MIN(D129:R129))</f>
        <v>vendor 15</v>
      </c>
    </row>
    <row r="130" spans="1:20">
      <c r="A130" s="325"/>
      <c r="B130" s="329"/>
      <c r="C130" s="187" t="s">
        <v>407</v>
      </c>
      <c r="D130" s="138"/>
      <c r="E130" s="138"/>
      <c r="F130" s="138"/>
      <c r="G130" s="138"/>
      <c r="H130" s="138"/>
      <c r="I130" s="141">
        <v>10.35</v>
      </c>
      <c r="J130" s="138"/>
      <c r="K130" s="138">
        <v>18</v>
      </c>
      <c r="L130" s="138">
        <v>18.899999999999999</v>
      </c>
      <c r="M130" s="138"/>
      <c r="N130" s="138">
        <v>17.5</v>
      </c>
      <c r="O130" s="138"/>
      <c r="P130" s="138">
        <v>10.5</v>
      </c>
      <c r="Q130" s="138">
        <v>20</v>
      </c>
      <c r="R130" s="187" t="s">
        <v>408</v>
      </c>
      <c r="S130" s="88">
        <f t="shared" si="4"/>
        <v>10.35</v>
      </c>
      <c r="T130" s="226" t="str" cm="1">
        <f t="array" ref="T130">_xlfn._xlws.FILTER(D$5:$R$5, D130:R130=MIN(D130:R130))</f>
        <v>vendor 6</v>
      </c>
    </row>
    <row r="131" spans="1:20">
      <c r="A131" s="330">
        <v>96</v>
      </c>
      <c r="B131" s="329" t="s">
        <v>409</v>
      </c>
      <c r="C131" s="277" t="s">
        <v>251</v>
      </c>
      <c r="D131" s="138"/>
      <c r="E131" s="138"/>
      <c r="F131" s="138"/>
      <c r="G131" s="138"/>
      <c r="H131" s="138"/>
      <c r="I131" s="138">
        <v>92</v>
      </c>
      <c r="J131" s="138"/>
      <c r="K131" s="141">
        <v>40</v>
      </c>
      <c r="L131" s="138">
        <v>84</v>
      </c>
      <c r="M131" s="138"/>
      <c r="N131" s="138">
        <v>150</v>
      </c>
      <c r="O131" s="138"/>
      <c r="P131" s="138">
        <v>95</v>
      </c>
      <c r="Q131" s="138">
        <v>110</v>
      </c>
      <c r="R131" s="187"/>
      <c r="S131" s="88">
        <f t="shared" si="4"/>
        <v>40</v>
      </c>
      <c r="T131" s="226" t="str" cm="1">
        <f t="array" ref="T131">_xlfn._xlws.FILTER(D$5:$R$5, D131:R131=MIN(D131:R131))</f>
        <v>vendor 8</v>
      </c>
    </row>
    <row r="132" spans="1:20">
      <c r="A132" s="330"/>
      <c r="B132" s="329"/>
      <c r="C132" s="187" t="s">
        <v>410</v>
      </c>
      <c r="D132" s="138"/>
      <c r="E132" s="138"/>
      <c r="F132" s="138"/>
      <c r="G132" s="138"/>
      <c r="H132" s="138"/>
      <c r="I132" s="138" t="s">
        <v>411</v>
      </c>
      <c r="J132" s="138"/>
      <c r="K132" s="141">
        <v>40</v>
      </c>
      <c r="L132" s="138">
        <v>63.9</v>
      </c>
      <c r="M132" s="138"/>
      <c r="N132" s="138">
        <v>100</v>
      </c>
      <c r="O132" s="138"/>
      <c r="P132" s="138">
        <v>85</v>
      </c>
      <c r="Q132" s="138">
        <v>100</v>
      </c>
      <c r="R132" s="187"/>
      <c r="S132" s="88">
        <f t="shared" si="4"/>
        <v>40</v>
      </c>
      <c r="T132" s="226" t="str" cm="1">
        <f t="array" ref="T132">_xlfn._xlws.FILTER(D$5:$R$5, D132:R132=MIN(D132:R132))</f>
        <v>vendor 8</v>
      </c>
    </row>
    <row r="133" spans="1:20">
      <c r="A133" s="330"/>
      <c r="B133" s="329"/>
      <c r="C133" s="187" t="s">
        <v>412</v>
      </c>
      <c r="D133" s="138"/>
      <c r="E133" s="138"/>
      <c r="F133" s="138"/>
      <c r="G133" s="138"/>
      <c r="H133" s="138"/>
      <c r="I133" s="138">
        <v>69</v>
      </c>
      <c r="J133" s="138"/>
      <c r="K133" s="141">
        <v>40</v>
      </c>
      <c r="L133" s="138">
        <v>50.95</v>
      </c>
      <c r="M133" s="138"/>
      <c r="N133" s="138">
        <v>85</v>
      </c>
      <c r="O133" s="138"/>
      <c r="P133" s="138">
        <v>75</v>
      </c>
      <c r="Q133" s="138">
        <v>90</v>
      </c>
      <c r="R133" s="187"/>
      <c r="S133" s="88">
        <f t="shared" si="4"/>
        <v>40</v>
      </c>
      <c r="T133" s="226" t="str" cm="1">
        <f t="array" ref="T133">_xlfn._xlws.FILTER(D$5:$R$5, D133:R133=MIN(D133:R133))</f>
        <v>vendor 8</v>
      </c>
    </row>
    <row r="134" spans="1:20">
      <c r="A134" s="330">
        <v>97</v>
      </c>
      <c r="B134" s="329" t="s">
        <v>413</v>
      </c>
      <c r="C134" s="277" t="s">
        <v>251</v>
      </c>
      <c r="D134" s="138"/>
      <c r="E134" s="138"/>
      <c r="F134" s="138"/>
      <c r="G134" s="138"/>
      <c r="H134" s="138"/>
      <c r="I134" s="138">
        <v>172.5</v>
      </c>
      <c r="J134" s="138"/>
      <c r="K134" s="141">
        <v>80</v>
      </c>
      <c r="L134" s="138">
        <v>113.4</v>
      </c>
      <c r="M134" s="138"/>
      <c r="N134" s="138">
        <v>150</v>
      </c>
      <c r="O134" s="138"/>
      <c r="P134" s="138">
        <v>175</v>
      </c>
      <c r="Q134" s="138">
        <v>220</v>
      </c>
      <c r="R134" s="187"/>
      <c r="S134" s="88">
        <f t="shared" si="4"/>
        <v>80</v>
      </c>
      <c r="T134" s="226" t="str" cm="1">
        <f t="array" ref="T134">_xlfn._xlws.FILTER(D$5:$R$5, D134:R134=MIN(D134:R134))</f>
        <v>vendor 8</v>
      </c>
    </row>
    <row r="135" spans="1:20">
      <c r="A135" s="330"/>
      <c r="B135" s="329"/>
      <c r="C135" s="187" t="s">
        <v>414</v>
      </c>
      <c r="D135" s="138"/>
      <c r="E135" s="138"/>
      <c r="F135" s="138"/>
      <c r="G135" s="138"/>
      <c r="H135" s="138"/>
      <c r="I135" s="138">
        <v>149.5</v>
      </c>
      <c r="J135" s="138"/>
      <c r="K135" s="141">
        <v>80</v>
      </c>
      <c r="L135" s="138">
        <v>86.27</v>
      </c>
      <c r="M135" s="138"/>
      <c r="N135" s="138">
        <v>100</v>
      </c>
      <c r="O135" s="138"/>
      <c r="P135" s="138">
        <v>170</v>
      </c>
      <c r="Q135" s="138">
        <v>200</v>
      </c>
      <c r="R135" s="187"/>
      <c r="S135" s="88">
        <f t="shared" si="4"/>
        <v>80</v>
      </c>
      <c r="T135" s="226" t="str" cm="1">
        <f t="array" ref="T135">_xlfn._xlws.FILTER(D$5:$R$5, D135:R135=MIN(D135:R135))</f>
        <v>vendor 8</v>
      </c>
    </row>
    <row r="136" spans="1:20">
      <c r="A136" s="330"/>
      <c r="B136" s="329"/>
      <c r="C136" s="187" t="s">
        <v>412</v>
      </c>
      <c r="D136" s="138"/>
      <c r="E136" s="138"/>
      <c r="F136" s="138"/>
      <c r="G136" s="138"/>
      <c r="H136" s="138"/>
      <c r="I136" s="138">
        <v>126.5</v>
      </c>
      <c r="J136" s="138"/>
      <c r="K136" s="138">
        <v>80</v>
      </c>
      <c r="L136" s="141">
        <v>68.78</v>
      </c>
      <c r="M136" s="138"/>
      <c r="N136" s="138">
        <v>85</v>
      </c>
      <c r="O136" s="138"/>
      <c r="P136" s="138">
        <v>150</v>
      </c>
      <c r="Q136" s="138">
        <v>180</v>
      </c>
      <c r="R136" s="187"/>
      <c r="S136" s="88">
        <f t="shared" si="4"/>
        <v>68.78</v>
      </c>
      <c r="T136" s="226" t="str" cm="1">
        <f t="array" ref="T136">_xlfn._xlws.FILTER(D$5:$R$5, D136:R136=MIN(D136:R136))</f>
        <v>vendor 9</v>
      </c>
    </row>
    <row r="137" spans="1:20">
      <c r="A137" s="330">
        <v>98</v>
      </c>
      <c r="B137" s="329" t="s">
        <v>415</v>
      </c>
      <c r="C137" s="277" t="s">
        <v>251</v>
      </c>
      <c r="D137" s="138"/>
      <c r="E137" s="138"/>
      <c r="F137" s="138"/>
      <c r="G137" s="138"/>
      <c r="H137" s="138"/>
      <c r="I137" s="138">
        <v>97.75</v>
      </c>
      <c r="J137" s="138"/>
      <c r="K137" s="141">
        <v>40</v>
      </c>
      <c r="L137" s="138">
        <v>92.4</v>
      </c>
      <c r="M137" s="138"/>
      <c r="N137" s="138">
        <v>400</v>
      </c>
      <c r="O137" s="138"/>
      <c r="P137" s="138">
        <v>180</v>
      </c>
      <c r="Q137" s="138">
        <v>120</v>
      </c>
      <c r="R137" s="187"/>
      <c r="S137" s="88">
        <f t="shared" si="4"/>
        <v>40</v>
      </c>
      <c r="T137" s="226" t="str" cm="1">
        <f t="array" ref="T137">_xlfn._xlws.FILTER(D$5:$R$5, D137:R137=MIN(D137:R137))</f>
        <v>vendor 8</v>
      </c>
    </row>
    <row r="138" spans="1:20">
      <c r="A138" s="330"/>
      <c r="B138" s="329"/>
      <c r="C138" s="187" t="s">
        <v>414</v>
      </c>
      <c r="D138" s="138"/>
      <c r="E138" s="138"/>
      <c r="F138" s="138"/>
      <c r="G138" s="138"/>
      <c r="H138" s="138"/>
      <c r="I138" s="138">
        <v>86.25</v>
      </c>
      <c r="J138" s="138"/>
      <c r="K138" s="141">
        <v>40</v>
      </c>
      <c r="L138" s="138">
        <v>70.290000000000006</v>
      </c>
      <c r="M138" s="138"/>
      <c r="N138" s="138">
        <v>120</v>
      </c>
      <c r="O138" s="138"/>
      <c r="P138" s="138">
        <v>165</v>
      </c>
      <c r="Q138" s="138">
        <v>110</v>
      </c>
      <c r="R138" s="187"/>
      <c r="S138" s="88">
        <f t="shared" si="4"/>
        <v>40</v>
      </c>
      <c r="T138" s="226" t="str" cm="1">
        <f t="array" ref="T138">_xlfn._xlws.FILTER(D$5:$R$5, D138:R138=MIN(D138:R138))</f>
        <v>vendor 8</v>
      </c>
    </row>
    <row r="139" spans="1:20">
      <c r="A139" s="330"/>
      <c r="B139" s="329"/>
      <c r="C139" s="187" t="s">
        <v>412</v>
      </c>
      <c r="D139" s="138"/>
      <c r="E139" s="138"/>
      <c r="F139" s="138"/>
      <c r="G139" s="138"/>
      <c r="H139" s="138"/>
      <c r="I139" s="138">
        <v>74.75</v>
      </c>
      <c r="J139" s="138"/>
      <c r="K139" s="141">
        <v>40</v>
      </c>
      <c r="L139" s="138">
        <v>56.05</v>
      </c>
      <c r="M139" s="138"/>
      <c r="N139" s="138">
        <v>90</v>
      </c>
      <c r="O139" s="138"/>
      <c r="P139" s="138">
        <v>156</v>
      </c>
      <c r="Q139" s="138">
        <v>100</v>
      </c>
      <c r="R139" s="187"/>
      <c r="S139" s="88">
        <f t="shared" si="4"/>
        <v>40</v>
      </c>
      <c r="T139" s="226" t="str" cm="1">
        <f t="array" ref="T139">_xlfn._xlws.FILTER(D$5:$R$5, D139:R139=MIN(D139:R139))</f>
        <v>vendor 8</v>
      </c>
    </row>
    <row r="140" spans="1:20">
      <c r="A140" s="330">
        <v>99</v>
      </c>
      <c r="B140" s="329" t="s">
        <v>416</v>
      </c>
      <c r="C140" s="277" t="s">
        <v>251</v>
      </c>
      <c r="D140" s="138"/>
      <c r="E140" s="138"/>
      <c r="F140" s="138"/>
      <c r="G140" s="138"/>
      <c r="H140" s="138"/>
      <c r="I140" s="138">
        <v>178.25</v>
      </c>
      <c r="J140" s="138"/>
      <c r="K140" s="141">
        <v>80</v>
      </c>
      <c r="L140" s="138">
        <v>121.34</v>
      </c>
      <c r="M140" s="138"/>
      <c r="N140" s="138">
        <v>400</v>
      </c>
      <c r="O140" s="138"/>
      <c r="P140" s="138">
        <v>180</v>
      </c>
      <c r="Q140" s="138">
        <v>240</v>
      </c>
      <c r="R140" s="187"/>
      <c r="S140" s="88">
        <f t="shared" si="4"/>
        <v>80</v>
      </c>
      <c r="T140" s="226" t="str" cm="1">
        <f t="array" ref="T140">_xlfn._xlws.FILTER(D$5:$R$5, D140:R140=MIN(D140:R140))</f>
        <v>vendor 8</v>
      </c>
    </row>
    <row r="141" spans="1:20">
      <c r="A141" s="330"/>
      <c r="B141" s="329"/>
      <c r="C141" s="187" t="s">
        <v>414</v>
      </c>
      <c r="D141" s="138"/>
      <c r="E141" s="138"/>
      <c r="F141" s="138"/>
      <c r="G141" s="138"/>
      <c r="H141" s="138"/>
      <c r="I141" s="138">
        <v>155.25</v>
      </c>
      <c r="J141" s="138"/>
      <c r="K141" s="141">
        <v>80</v>
      </c>
      <c r="L141" s="138">
        <v>92.3</v>
      </c>
      <c r="M141" s="138"/>
      <c r="N141" s="138">
        <v>120</v>
      </c>
      <c r="O141" s="138"/>
      <c r="P141" s="138">
        <v>165</v>
      </c>
      <c r="Q141" s="138">
        <v>220</v>
      </c>
      <c r="R141" s="187"/>
      <c r="S141" s="88">
        <f t="shared" si="4"/>
        <v>80</v>
      </c>
      <c r="T141" s="226" t="str" cm="1">
        <f t="array" ref="T141">_xlfn._xlws.FILTER(D$5:$R$5, D141:R141=MIN(D141:R141))</f>
        <v>vendor 8</v>
      </c>
    </row>
    <row r="142" spans="1:20">
      <c r="A142" s="330"/>
      <c r="B142" s="331"/>
      <c r="C142" s="187" t="s">
        <v>412</v>
      </c>
      <c r="D142" s="138"/>
      <c r="E142" s="138"/>
      <c r="F142" s="138"/>
      <c r="G142" s="138"/>
      <c r="H142" s="138"/>
      <c r="I142" s="138">
        <v>132.25</v>
      </c>
      <c r="J142" s="138"/>
      <c r="K142" s="138">
        <v>80</v>
      </c>
      <c r="L142" s="141">
        <v>73.599999999999994</v>
      </c>
      <c r="M142" s="138"/>
      <c r="N142" s="138">
        <v>90</v>
      </c>
      <c r="O142" s="138"/>
      <c r="P142" s="138">
        <v>156</v>
      </c>
      <c r="Q142" s="138">
        <v>200</v>
      </c>
      <c r="R142" s="187"/>
      <c r="S142" s="88">
        <f t="shared" si="4"/>
        <v>73.599999999999994</v>
      </c>
      <c r="T142" s="226" t="str" cm="1">
        <f t="array" ref="T142">_xlfn._xlws.FILTER(D$5:$R$5, D142:R142=MIN(D142:R142))</f>
        <v>vendor 9</v>
      </c>
    </row>
    <row r="143" spans="1:20">
      <c r="A143" s="330">
        <v>100</v>
      </c>
      <c r="B143" s="163" t="s">
        <v>417</v>
      </c>
      <c r="C143" s="187">
        <v>100</v>
      </c>
      <c r="D143" s="138"/>
      <c r="E143" s="138"/>
      <c r="F143" s="138"/>
      <c r="G143" s="138"/>
      <c r="H143" s="138"/>
      <c r="I143" s="138"/>
      <c r="J143" s="138"/>
      <c r="K143" s="138">
        <v>130</v>
      </c>
      <c r="L143" s="141">
        <v>76.7</v>
      </c>
      <c r="M143" s="138"/>
      <c r="N143" s="138">
        <v>25000</v>
      </c>
      <c r="O143" s="138"/>
      <c r="P143" s="138"/>
      <c r="Q143" s="138"/>
      <c r="R143" s="187">
        <v>180</v>
      </c>
      <c r="S143" s="88">
        <f t="shared" si="4"/>
        <v>76.7</v>
      </c>
      <c r="T143" s="226" t="str" cm="1">
        <f t="array" ref="T143">_xlfn._xlws.FILTER(D$5:$R$5, D143:R143=MIN(D143:R143))</f>
        <v>vendor 9</v>
      </c>
    </row>
    <row r="144" spans="1:20">
      <c r="A144" s="330"/>
      <c r="B144" s="164" t="s">
        <v>418</v>
      </c>
      <c r="C144" s="187">
        <v>200</v>
      </c>
      <c r="D144" s="138"/>
      <c r="E144" s="138"/>
      <c r="F144" s="138"/>
      <c r="G144" s="138"/>
      <c r="H144" s="138"/>
      <c r="I144" s="138"/>
      <c r="J144" s="138"/>
      <c r="K144" s="138">
        <v>125</v>
      </c>
      <c r="L144" s="141">
        <v>71</v>
      </c>
      <c r="M144" s="138"/>
      <c r="N144" s="138">
        <v>40000</v>
      </c>
      <c r="O144" s="138"/>
      <c r="P144" s="138"/>
      <c r="Q144" s="138"/>
      <c r="R144" s="187">
        <v>160</v>
      </c>
      <c r="S144" s="88">
        <f t="shared" si="4"/>
        <v>71</v>
      </c>
      <c r="T144" s="226" t="str" cm="1">
        <f t="array" ref="T144">_xlfn._xlws.FILTER(D$5:$R$5, D144:R144=MIN(D144:R144))</f>
        <v>vendor 9</v>
      </c>
    </row>
    <row r="145" spans="1:20">
      <c r="A145" s="332"/>
      <c r="B145" s="164" t="s">
        <v>419</v>
      </c>
      <c r="C145" s="187">
        <v>300</v>
      </c>
      <c r="D145" s="138"/>
      <c r="E145" s="138"/>
      <c r="F145" s="138"/>
      <c r="G145" s="138"/>
      <c r="H145" s="138"/>
      <c r="I145" s="138"/>
      <c r="J145" s="138"/>
      <c r="K145" s="138">
        <v>120</v>
      </c>
      <c r="L145" s="141">
        <v>66.900000000000006</v>
      </c>
      <c r="M145" s="138"/>
      <c r="N145" s="138">
        <v>45000</v>
      </c>
      <c r="O145" s="138"/>
      <c r="P145" s="138"/>
      <c r="Q145" s="138"/>
      <c r="R145" s="187">
        <v>150</v>
      </c>
      <c r="S145" s="88">
        <f t="shared" si="4"/>
        <v>66.900000000000006</v>
      </c>
      <c r="T145" s="226" t="str" cm="1">
        <f t="array" ref="T145">_xlfn._xlws.FILTER(D$5:$R$5, D145:R145=MIN(D145:R145))</f>
        <v>vendor 9</v>
      </c>
    </row>
    <row r="146" spans="1:20" s="174" customFormat="1">
      <c r="A146" s="198">
        <v>101</v>
      </c>
      <c r="B146" s="151" t="s">
        <v>223</v>
      </c>
      <c r="C146" s="187" t="s">
        <v>420</v>
      </c>
      <c r="D146" s="138"/>
      <c r="E146" s="138"/>
      <c r="F146" s="138"/>
      <c r="G146" s="138"/>
      <c r="H146" s="138"/>
      <c r="I146" s="138">
        <v>32.200000000000003</v>
      </c>
      <c r="J146" s="138"/>
      <c r="K146" s="138"/>
      <c r="L146" s="138">
        <v>19.64</v>
      </c>
      <c r="M146" s="141">
        <v>8</v>
      </c>
      <c r="N146" s="138">
        <v>72</v>
      </c>
      <c r="O146" s="138"/>
      <c r="P146" s="138">
        <v>33</v>
      </c>
      <c r="Q146" s="138">
        <v>35</v>
      </c>
      <c r="R146" s="187"/>
      <c r="S146" s="88">
        <f t="shared" si="4"/>
        <v>8</v>
      </c>
      <c r="T146" s="226" t="str" cm="1">
        <f t="array" ref="T146">_xlfn._xlws.FILTER(D$5:$R$5, D146:R146=MIN(D146:R146))</f>
        <v>vendor 10</v>
      </c>
    </row>
    <row r="147" spans="1:20" s="174" customFormat="1">
      <c r="A147" s="200"/>
      <c r="B147" s="164"/>
      <c r="C147" s="187" t="s">
        <v>332</v>
      </c>
      <c r="D147" s="138"/>
      <c r="E147" s="138"/>
      <c r="F147" s="138"/>
      <c r="G147" s="138"/>
      <c r="H147" s="138"/>
      <c r="I147" s="138">
        <v>28.75</v>
      </c>
      <c r="J147" s="138"/>
      <c r="K147" s="138">
        <v>8</v>
      </c>
      <c r="L147" s="138">
        <v>12.74</v>
      </c>
      <c r="M147" s="141">
        <v>6</v>
      </c>
      <c r="N147" s="138">
        <v>30</v>
      </c>
      <c r="O147" s="138"/>
      <c r="P147" s="138">
        <v>29</v>
      </c>
      <c r="Q147" s="138">
        <v>32</v>
      </c>
      <c r="R147" s="187"/>
      <c r="S147" s="88">
        <f t="shared" si="4"/>
        <v>6</v>
      </c>
      <c r="T147" s="226" t="str" cm="1">
        <f t="array" ref="T147">_xlfn._xlws.FILTER(D$5:$R$5, D147:R147=MIN(D147:R147))</f>
        <v>vendor 10</v>
      </c>
    </row>
    <row r="148" spans="1:20" s="174" customFormat="1">
      <c r="A148" s="204"/>
      <c r="B148" s="165"/>
      <c r="C148" s="187" t="s">
        <v>339</v>
      </c>
      <c r="D148" s="138"/>
      <c r="E148" s="138"/>
      <c r="F148" s="138"/>
      <c r="G148" s="138"/>
      <c r="H148" s="138"/>
      <c r="I148" s="138">
        <v>27.6</v>
      </c>
      <c r="J148" s="138"/>
      <c r="K148" s="138">
        <v>6</v>
      </c>
      <c r="L148" s="138">
        <v>9.24</v>
      </c>
      <c r="M148" s="141">
        <v>5</v>
      </c>
      <c r="N148" s="138">
        <v>18</v>
      </c>
      <c r="O148" s="138"/>
      <c r="P148" s="138">
        <v>28</v>
      </c>
      <c r="Q148" s="138">
        <v>30</v>
      </c>
      <c r="R148" s="187"/>
      <c r="S148" s="88">
        <f t="shared" si="4"/>
        <v>5</v>
      </c>
      <c r="T148" s="226" t="str" cm="1">
        <f t="array" ref="T148">_xlfn._xlws.FILTER(D$5:$R$5, D148:R148=MIN(D148:R148))</f>
        <v>vendor 10</v>
      </c>
    </row>
    <row r="149" spans="1:20" ht="39.6" customHeight="1">
      <c r="A149" s="195">
        <v>102</v>
      </c>
      <c r="B149" s="196" t="s">
        <v>421</v>
      </c>
      <c r="C149" s="187" t="s">
        <v>422</v>
      </c>
      <c r="D149" s="138"/>
      <c r="E149" s="138">
        <v>7</v>
      </c>
      <c r="F149" s="138"/>
      <c r="G149" s="138"/>
      <c r="H149" s="138"/>
      <c r="I149" s="138">
        <v>5.52</v>
      </c>
      <c r="J149" s="138"/>
      <c r="K149" s="141">
        <v>2.8</v>
      </c>
      <c r="L149" s="138">
        <v>5.52</v>
      </c>
      <c r="M149" s="138">
        <v>5</v>
      </c>
      <c r="N149" s="138">
        <v>6</v>
      </c>
      <c r="O149" s="138"/>
      <c r="P149" s="138">
        <v>6</v>
      </c>
      <c r="Q149" s="138">
        <v>10</v>
      </c>
      <c r="R149" s="187">
        <v>22</v>
      </c>
      <c r="S149" s="88">
        <f t="shared" si="4"/>
        <v>2.8</v>
      </c>
      <c r="T149" s="226" t="str" cm="1">
        <f t="array" ref="T149">_xlfn._xlws.FILTER(D$5:$R$5, D149:R149=MIN(D149:R149))</f>
        <v>vendor 8</v>
      </c>
    </row>
    <row r="150" spans="1:20">
      <c r="A150" s="197"/>
      <c r="B150" s="218" t="s">
        <v>423</v>
      </c>
      <c r="C150" s="187" t="s">
        <v>424</v>
      </c>
      <c r="D150" s="138"/>
      <c r="E150" s="138">
        <v>6.5</v>
      </c>
      <c r="F150" s="138"/>
      <c r="G150" s="138"/>
      <c r="H150" s="138"/>
      <c r="I150" s="138">
        <v>4.5999999999999996</v>
      </c>
      <c r="J150" s="138"/>
      <c r="K150" s="141">
        <v>2.5</v>
      </c>
      <c r="L150" s="138">
        <v>3.74</v>
      </c>
      <c r="M150" s="138">
        <v>4</v>
      </c>
      <c r="N150" s="138">
        <v>5.5</v>
      </c>
      <c r="O150" s="138"/>
      <c r="P150" s="138">
        <v>4.8</v>
      </c>
      <c r="Q150" s="138">
        <v>7</v>
      </c>
      <c r="R150" s="187">
        <v>22</v>
      </c>
      <c r="S150" s="88">
        <f t="shared" si="4"/>
        <v>2.5</v>
      </c>
      <c r="T150" s="226" t="str" cm="1">
        <f t="array" ref="T150">_xlfn._xlws.FILTER(D$5:$R$5, D150:R150=MIN(D150:R150))</f>
        <v>vendor 8</v>
      </c>
    </row>
    <row r="151" spans="1:20">
      <c r="A151" s="195">
        <v>103</v>
      </c>
      <c r="B151" s="219" t="s">
        <v>425</v>
      </c>
      <c r="C151" s="279" t="s">
        <v>426</v>
      </c>
      <c r="D151" s="138"/>
      <c r="E151" s="141">
        <v>18</v>
      </c>
      <c r="F151" s="138"/>
      <c r="G151" s="138"/>
      <c r="H151" s="138">
        <v>35</v>
      </c>
      <c r="I151" s="138">
        <v>25.3</v>
      </c>
      <c r="J151" s="138"/>
      <c r="K151" s="138"/>
      <c r="L151" s="138">
        <v>19</v>
      </c>
      <c r="M151" s="138">
        <v>25</v>
      </c>
      <c r="N151" s="138">
        <v>38</v>
      </c>
      <c r="O151" s="138"/>
      <c r="P151" s="138">
        <v>25.5</v>
      </c>
      <c r="Q151" s="138">
        <v>25</v>
      </c>
      <c r="R151" s="187">
        <v>45</v>
      </c>
      <c r="S151" s="88">
        <f t="shared" si="4"/>
        <v>18</v>
      </c>
      <c r="T151" s="226" t="str" cm="1">
        <f t="array" ref="T151">_xlfn._xlws.FILTER(D$5:$R$5, D151:R151=MIN(D151:R151))</f>
        <v>vendor 2</v>
      </c>
    </row>
    <row r="152" spans="1:20">
      <c r="A152" s="197"/>
      <c r="B152" s="322" t="s">
        <v>427</v>
      </c>
      <c r="C152" s="279" t="s">
        <v>428</v>
      </c>
      <c r="D152" s="138"/>
      <c r="E152" s="141">
        <v>17</v>
      </c>
      <c r="F152" s="138"/>
      <c r="G152" s="138"/>
      <c r="H152" s="138"/>
      <c r="I152" s="138">
        <v>25.3</v>
      </c>
      <c r="J152" s="138"/>
      <c r="K152" s="138"/>
      <c r="L152" s="138">
        <v>18</v>
      </c>
      <c r="M152" s="138">
        <v>25</v>
      </c>
      <c r="N152" s="138">
        <v>35</v>
      </c>
      <c r="O152" s="138"/>
      <c r="P152" s="138">
        <v>25.5</v>
      </c>
      <c r="Q152" s="138">
        <v>24</v>
      </c>
      <c r="R152" s="187">
        <v>42</v>
      </c>
      <c r="S152" s="88">
        <f t="shared" si="4"/>
        <v>17</v>
      </c>
      <c r="T152" s="226" t="str" cm="1">
        <f t="array" ref="T152">_xlfn._xlws.FILTER(D$5:$R$5, D152:R152=MIN(D152:R152))</f>
        <v>vendor 2</v>
      </c>
    </row>
    <row r="153" spans="1:20">
      <c r="A153" s="197"/>
      <c r="B153" s="322"/>
      <c r="C153" s="279" t="s">
        <v>424</v>
      </c>
      <c r="D153" s="138"/>
      <c r="E153" s="141">
        <v>16</v>
      </c>
      <c r="F153" s="138"/>
      <c r="G153" s="138"/>
      <c r="H153" s="138"/>
      <c r="I153" s="138">
        <v>23</v>
      </c>
      <c r="J153" s="138"/>
      <c r="K153" s="138"/>
      <c r="L153" s="138">
        <v>17</v>
      </c>
      <c r="M153" s="138">
        <v>2525</v>
      </c>
      <c r="N153" s="138">
        <v>33</v>
      </c>
      <c r="O153" s="138"/>
      <c r="P153" s="138">
        <v>24</v>
      </c>
      <c r="Q153" s="138">
        <v>23</v>
      </c>
      <c r="R153" s="187">
        <v>40</v>
      </c>
      <c r="S153" s="88">
        <f t="shared" si="4"/>
        <v>16</v>
      </c>
      <c r="T153" s="226" t="str" cm="1">
        <f t="array" ref="T153">_xlfn._xlws.FILTER(D$5:$R$5, D153:R153=MIN(D153:R153))</f>
        <v>vendor 2</v>
      </c>
    </row>
    <row r="154" spans="1:20">
      <c r="A154" s="220"/>
      <c r="B154" s="323"/>
      <c r="C154" s="280" t="s">
        <v>429</v>
      </c>
      <c r="D154" s="138"/>
      <c r="E154" s="141">
        <v>15</v>
      </c>
      <c r="F154" s="138"/>
      <c r="G154" s="138"/>
      <c r="H154" s="138"/>
      <c r="I154" s="138">
        <v>23</v>
      </c>
      <c r="J154" s="138"/>
      <c r="K154" s="138"/>
      <c r="L154" s="138">
        <v>16</v>
      </c>
      <c r="M154" s="138">
        <v>25</v>
      </c>
      <c r="N154" s="138">
        <v>32</v>
      </c>
      <c r="O154" s="138"/>
      <c r="P154" s="138">
        <v>23</v>
      </c>
      <c r="Q154" s="138">
        <v>22</v>
      </c>
      <c r="R154" s="187">
        <v>38</v>
      </c>
      <c r="S154" s="88">
        <f t="shared" si="4"/>
        <v>15</v>
      </c>
      <c r="T154" s="226" t="str" cm="1">
        <f t="array" ref="T154">_xlfn._xlws.FILTER(D$5:$R$5, D154:R154=MIN(D154:R154))</f>
        <v>vendor 2</v>
      </c>
    </row>
    <row r="155" spans="1:20" s="174" customFormat="1">
      <c r="A155" s="200">
        <v>104</v>
      </c>
      <c r="B155" s="221" t="s">
        <v>430</v>
      </c>
      <c r="C155" s="187"/>
      <c r="D155" s="138"/>
      <c r="E155" s="138"/>
      <c r="F155" s="138"/>
      <c r="G155" s="138"/>
      <c r="H155" s="138">
        <v>400</v>
      </c>
      <c r="I155" s="138">
        <v>402.5</v>
      </c>
      <c r="J155" s="138"/>
      <c r="K155" s="138"/>
      <c r="L155" s="141">
        <v>150</v>
      </c>
      <c r="M155" s="138">
        <v>500</v>
      </c>
      <c r="N155" s="138">
        <v>800</v>
      </c>
      <c r="O155" s="138"/>
      <c r="P155" s="138">
        <v>402.5</v>
      </c>
      <c r="Q155" s="138"/>
      <c r="R155" s="187"/>
      <c r="S155" s="88">
        <f t="shared" si="4"/>
        <v>150</v>
      </c>
      <c r="T155" s="226" t="str" cm="1">
        <f t="array" ref="T155">_xlfn._xlws.FILTER(D$5:$R$5, D155:R155=MIN(D155:R155))</f>
        <v>vendor 9</v>
      </c>
    </row>
    <row r="156" spans="1:20" s="174" customFormat="1">
      <c r="A156" s="195">
        <v>105</v>
      </c>
      <c r="B156" s="163" t="s">
        <v>431</v>
      </c>
      <c r="C156" s="279" t="s">
        <v>432</v>
      </c>
      <c r="D156" s="138"/>
      <c r="E156" s="138"/>
      <c r="F156" s="138"/>
      <c r="G156" s="138"/>
      <c r="H156" s="138"/>
      <c r="I156" s="138">
        <v>4.5999999999999996</v>
      </c>
      <c r="J156" s="138"/>
      <c r="K156" s="138"/>
      <c r="L156" s="138">
        <v>6</v>
      </c>
      <c r="M156" s="138"/>
      <c r="N156" s="141">
        <v>3.2</v>
      </c>
      <c r="O156" s="138"/>
      <c r="P156" s="138">
        <v>4.5999999999999996</v>
      </c>
      <c r="Q156" s="138">
        <v>15</v>
      </c>
      <c r="R156" s="187">
        <v>28</v>
      </c>
      <c r="S156" s="88">
        <f t="shared" si="4"/>
        <v>3.2</v>
      </c>
      <c r="T156" s="226" t="str" cm="1">
        <f t="array" ref="T156">_xlfn._xlws.FILTER(D$5:$R$5, D156:R156=MIN(D156:R156))</f>
        <v>vendor 11</v>
      </c>
    </row>
    <row r="157" spans="1:20" s="174" customFormat="1">
      <c r="A157" s="197"/>
      <c r="B157" s="216" t="s">
        <v>433</v>
      </c>
      <c r="C157" s="279" t="s">
        <v>434</v>
      </c>
      <c r="D157" s="138"/>
      <c r="E157" s="138"/>
      <c r="F157" s="138"/>
      <c r="G157" s="138"/>
      <c r="H157" s="138"/>
      <c r="I157" s="138">
        <v>3.75</v>
      </c>
      <c r="J157" s="138"/>
      <c r="K157" s="138"/>
      <c r="L157" s="138">
        <v>3.3</v>
      </c>
      <c r="M157" s="138"/>
      <c r="N157" s="141">
        <v>3</v>
      </c>
      <c r="O157" s="138"/>
      <c r="P157" s="138">
        <v>4.4000000000000004</v>
      </c>
      <c r="Q157" s="138">
        <v>8</v>
      </c>
      <c r="R157" s="187">
        <v>24</v>
      </c>
      <c r="S157" s="88">
        <f t="shared" si="4"/>
        <v>3</v>
      </c>
      <c r="T157" s="226" t="str" cm="1">
        <f t="array" ref="T157">_xlfn._xlws.FILTER(D$5:$R$5, D157:R157=MIN(D157:R157))</f>
        <v>vendor 11</v>
      </c>
    </row>
    <row r="158" spans="1:20">
      <c r="A158" s="197"/>
      <c r="B158" s="216" t="s">
        <v>435</v>
      </c>
      <c r="C158" s="279" t="s">
        <v>436</v>
      </c>
      <c r="D158" s="138"/>
      <c r="E158" s="138"/>
      <c r="F158" s="138"/>
      <c r="G158" s="138"/>
      <c r="H158" s="138"/>
      <c r="I158" s="138">
        <v>3.45</v>
      </c>
      <c r="J158" s="138"/>
      <c r="K158" s="138"/>
      <c r="L158" s="141">
        <v>1.92</v>
      </c>
      <c r="M158" s="138"/>
      <c r="N158" s="138">
        <v>2.8</v>
      </c>
      <c r="O158" s="138"/>
      <c r="P158" s="138">
        <v>3.5</v>
      </c>
      <c r="Q158" s="138">
        <v>7</v>
      </c>
      <c r="R158" s="187">
        <v>22.5</v>
      </c>
      <c r="S158" s="88">
        <f t="shared" si="4"/>
        <v>1.92</v>
      </c>
      <c r="T158" s="226" t="str" cm="1">
        <f t="array" ref="T158">_xlfn._xlws.FILTER(D$5:$R$5, D158:R158=MIN(D158:R158))</f>
        <v>vendor 9</v>
      </c>
    </row>
    <row r="159" spans="1:20">
      <c r="A159" s="197"/>
      <c r="B159" s="216"/>
      <c r="C159" s="279" t="s">
        <v>437</v>
      </c>
      <c r="D159" s="138"/>
      <c r="E159" s="138"/>
      <c r="F159" s="138"/>
      <c r="G159" s="138"/>
      <c r="H159" s="138"/>
      <c r="I159" s="138">
        <v>2.88</v>
      </c>
      <c r="J159" s="138"/>
      <c r="K159" s="138"/>
      <c r="L159" s="141">
        <v>1.36</v>
      </c>
      <c r="M159" s="138"/>
      <c r="N159" s="138">
        <v>2.6</v>
      </c>
      <c r="O159" s="138"/>
      <c r="P159" s="138">
        <v>3</v>
      </c>
      <c r="Q159" s="138">
        <v>5</v>
      </c>
      <c r="R159" s="187">
        <v>21</v>
      </c>
      <c r="S159" s="88">
        <f t="shared" si="4"/>
        <v>1.36</v>
      </c>
      <c r="T159" s="226" t="str" cm="1">
        <f t="array" ref="T159">_xlfn._xlws.FILTER(D$5:$R$5, D159:R159=MIN(D159:R159))</f>
        <v>vendor 9</v>
      </c>
    </row>
    <row r="160" spans="1:20">
      <c r="A160" s="198">
        <v>106</v>
      </c>
      <c r="B160" s="215" t="s">
        <v>438</v>
      </c>
      <c r="C160" s="281" t="s">
        <v>352</v>
      </c>
      <c r="D160" s="138"/>
      <c r="E160" s="138"/>
      <c r="F160" s="138"/>
      <c r="G160" s="138"/>
      <c r="H160" s="138"/>
      <c r="I160" s="138">
        <v>23</v>
      </c>
      <c r="J160" s="138"/>
      <c r="K160" s="138">
        <v>18</v>
      </c>
      <c r="L160" s="141">
        <v>16.2</v>
      </c>
      <c r="M160" s="138"/>
      <c r="N160" s="147">
        <v>20</v>
      </c>
      <c r="O160" s="138"/>
      <c r="P160" s="138">
        <v>23</v>
      </c>
      <c r="Q160" s="138"/>
      <c r="R160" s="190">
        <v>18</v>
      </c>
      <c r="S160" s="88">
        <f t="shared" si="4"/>
        <v>16.2</v>
      </c>
      <c r="T160" s="226" t="str" cm="1">
        <f t="array" ref="T160">_xlfn._xlws.FILTER(D$5:$R$5, D160:R160=MIN(D160:R160))</f>
        <v>vendor 9</v>
      </c>
    </row>
    <row r="161" spans="1:21">
      <c r="A161" s="200"/>
      <c r="B161" s="164" t="s">
        <v>439</v>
      </c>
      <c r="C161" s="279" t="s">
        <v>414</v>
      </c>
      <c r="D161" s="138"/>
      <c r="E161" s="138"/>
      <c r="F161" s="138"/>
      <c r="G161" s="138"/>
      <c r="H161" s="138"/>
      <c r="I161" s="138">
        <v>11.5</v>
      </c>
      <c r="J161" s="138"/>
      <c r="K161" s="138">
        <v>18</v>
      </c>
      <c r="L161" s="141">
        <v>12.4</v>
      </c>
      <c r="M161" s="138"/>
      <c r="N161" s="138">
        <v>18</v>
      </c>
      <c r="O161" s="138"/>
      <c r="P161" s="138">
        <v>12</v>
      </c>
      <c r="Q161" s="138"/>
      <c r="R161" s="187">
        <v>15</v>
      </c>
      <c r="S161" s="88">
        <f t="shared" ref="S161:S177" si="5">MIN(D161:R161)</f>
        <v>11.5</v>
      </c>
      <c r="T161" s="226" t="str" cm="1">
        <f t="array" ref="T161">_xlfn._xlws.FILTER(D$5:$R$5, D161:R161=MIN(D161:R161))</f>
        <v>vendor 6</v>
      </c>
    </row>
    <row r="162" spans="1:21">
      <c r="A162" s="200"/>
      <c r="B162" s="164"/>
      <c r="C162" s="279" t="s">
        <v>412</v>
      </c>
      <c r="D162" s="138"/>
      <c r="E162" s="138"/>
      <c r="F162" s="138"/>
      <c r="G162" s="138"/>
      <c r="H162" s="138">
        <v>20</v>
      </c>
      <c r="I162" s="138">
        <v>11.5</v>
      </c>
      <c r="J162" s="138"/>
      <c r="K162" s="138">
        <v>18</v>
      </c>
      <c r="L162" s="141">
        <v>9.1999999999999993</v>
      </c>
      <c r="M162" s="138"/>
      <c r="N162" s="138">
        <v>16.5</v>
      </c>
      <c r="O162" s="138"/>
      <c r="P162" s="138">
        <v>12</v>
      </c>
      <c r="Q162" s="138"/>
      <c r="R162" s="187">
        <v>13</v>
      </c>
      <c r="S162" s="88">
        <f t="shared" si="5"/>
        <v>9.1999999999999993</v>
      </c>
      <c r="T162" s="226" t="str" cm="1">
        <f t="array" ref="T162">_xlfn._xlws.FILTER(D$5:$R$5, D162:R162=MIN(D162:R162))</f>
        <v>vendor 9</v>
      </c>
    </row>
    <row r="163" spans="1:21">
      <c r="A163" s="200"/>
      <c r="B163" s="164"/>
      <c r="C163" s="279" t="s">
        <v>440</v>
      </c>
      <c r="D163" s="138"/>
      <c r="E163" s="138"/>
      <c r="F163" s="138"/>
      <c r="G163" s="138"/>
      <c r="H163" s="138"/>
      <c r="I163" s="138">
        <v>9.1999999999999993</v>
      </c>
      <c r="J163" s="138"/>
      <c r="K163" s="138">
        <v>18</v>
      </c>
      <c r="L163" s="141">
        <v>7.5</v>
      </c>
      <c r="M163" s="138"/>
      <c r="N163" s="138">
        <v>15</v>
      </c>
      <c r="O163" s="138"/>
      <c r="P163" s="138">
        <v>9.1999999999999993</v>
      </c>
      <c r="Q163" s="138"/>
      <c r="R163" s="187">
        <v>12</v>
      </c>
      <c r="S163" s="88">
        <f t="shared" si="5"/>
        <v>7.5</v>
      </c>
      <c r="T163" s="226" t="str" cm="1">
        <f t="array" ref="T163">_xlfn._xlws.FILTER(D$5:$R$5, D163:R163=MIN(D163:R163))</f>
        <v>vendor 9</v>
      </c>
    </row>
    <row r="164" spans="1:21">
      <c r="A164" s="200"/>
      <c r="B164" s="216"/>
      <c r="C164" s="279" t="s">
        <v>332</v>
      </c>
      <c r="D164" s="138"/>
      <c r="E164" s="138"/>
      <c r="F164" s="138"/>
      <c r="G164" s="138"/>
      <c r="H164" s="138"/>
      <c r="I164" s="138">
        <v>8.0500000000000007</v>
      </c>
      <c r="J164" s="138"/>
      <c r="K164" s="138">
        <v>18</v>
      </c>
      <c r="L164" s="141">
        <v>6.9</v>
      </c>
      <c r="M164" s="138"/>
      <c r="N164" s="138">
        <v>10</v>
      </c>
      <c r="O164" s="138"/>
      <c r="P164" s="138">
        <v>9</v>
      </c>
      <c r="Q164" s="138"/>
      <c r="R164" s="187">
        <v>10</v>
      </c>
      <c r="S164" s="88">
        <f t="shared" si="5"/>
        <v>6.9</v>
      </c>
      <c r="T164" s="226" t="str" cm="1">
        <f t="array" ref="T164">_xlfn._xlws.FILTER(D$5:$R$5, D164:R164=MIN(D164:R164))</f>
        <v>vendor 9</v>
      </c>
    </row>
    <row r="165" spans="1:21">
      <c r="A165" s="198">
        <v>107</v>
      </c>
      <c r="B165" s="284" t="s">
        <v>441</v>
      </c>
      <c r="C165" s="277" t="s">
        <v>251</v>
      </c>
      <c r="D165" s="138"/>
      <c r="E165" s="138"/>
      <c r="F165" s="138"/>
      <c r="G165" s="138"/>
      <c r="H165" s="138"/>
      <c r="I165" s="138">
        <v>11.5</v>
      </c>
      <c r="J165" s="138"/>
      <c r="K165" s="141">
        <v>2.5</v>
      </c>
      <c r="L165" s="138">
        <v>9</v>
      </c>
      <c r="M165" s="138"/>
      <c r="N165" s="138">
        <v>4.5</v>
      </c>
      <c r="O165" s="138"/>
      <c r="P165" s="138">
        <v>12</v>
      </c>
      <c r="Q165" s="138"/>
      <c r="R165" s="187">
        <v>16</v>
      </c>
      <c r="S165" s="88">
        <f t="shared" si="5"/>
        <v>2.5</v>
      </c>
      <c r="T165" s="226" t="str" cm="1">
        <f t="array" ref="T165">_xlfn._xlws.FILTER(D$5:$R$5, D165:R165=MIN(D165:R165))</f>
        <v>vendor 8</v>
      </c>
    </row>
    <row r="166" spans="1:21">
      <c r="A166" s="200"/>
      <c r="B166" s="285" t="s">
        <v>442</v>
      </c>
      <c r="C166" s="187" t="s">
        <v>414</v>
      </c>
      <c r="D166" s="138"/>
      <c r="E166" s="138"/>
      <c r="F166" s="138"/>
      <c r="G166" s="138"/>
      <c r="H166" s="138"/>
      <c r="I166" s="138">
        <v>11.5</v>
      </c>
      <c r="J166" s="138"/>
      <c r="K166" s="141">
        <v>2.5</v>
      </c>
      <c r="L166" s="138">
        <v>5.24</v>
      </c>
      <c r="M166" s="138"/>
      <c r="N166" s="138">
        <v>4</v>
      </c>
      <c r="O166" s="138"/>
      <c r="P166" s="138">
        <v>12</v>
      </c>
      <c r="Q166" s="138"/>
      <c r="R166" s="187">
        <v>14</v>
      </c>
      <c r="S166" s="88">
        <f t="shared" si="5"/>
        <v>2.5</v>
      </c>
      <c r="T166" s="226" t="str" cm="1">
        <f t="array" ref="T166">_xlfn._xlws.FILTER(D$5:$R$5, D166:R166=MIN(D166:R166))</f>
        <v>vendor 8</v>
      </c>
    </row>
    <row r="167" spans="1:21">
      <c r="A167" s="200"/>
      <c r="C167" s="187" t="s">
        <v>412</v>
      </c>
      <c r="D167" s="138"/>
      <c r="E167" s="138"/>
      <c r="F167" s="138"/>
      <c r="G167" s="138"/>
      <c r="H167" s="138"/>
      <c r="I167" s="138">
        <v>9.1999999999999993</v>
      </c>
      <c r="J167" s="138"/>
      <c r="K167" s="141">
        <v>2.5</v>
      </c>
      <c r="L167" s="138">
        <v>3.4</v>
      </c>
      <c r="M167" s="138"/>
      <c r="N167" s="138">
        <v>3.4</v>
      </c>
      <c r="O167" s="138"/>
      <c r="P167" s="138">
        <v>10</v>
      </c>
      <c r="Q167" s="138"/>
      <c r="R167" s="187">
        <v>13</v>
      </c>
      <c r="S167" s="88">
        <f t="shared" si="5"/>
        <v>2.5</v>
      </c>
      <c r="T167" s="226" t="str" cm="1">
        <f t="array" ref="T167">_xlfn._xlws.FILTER(D$5:$R$5, D167:R167=MIN(D167:R167))</f>
        <v>vendor 8</v>
      </c>
    </row>
    <row r="168" spans="1:21">
      <c r="A168" s="200"/>
      <c r="B168" s="285"/>
      <c r="C168" s="187" t="s">
        <v>358</v>
      </c>
      <c r="D168" s="138"/>
      <c r="E168" s="138"/>
      <c r="F168" s="138"/>
      <c r="G168" s="138"/>
      <c r="H168" s="138"/>
      <c r="I168" s="138">
        <v>6.9</v>
      </c>
      <c r="J168" s="138"/>
      <c r="K168" s="138">
        <v>2.5</v>
      </c>
      <c r="L168" s="141">
        <v>2.2000000000000002</v>
      </c>
      <c r="M168" s="138"/>
      <c r="N168" s="138">
        <v>3.2</v>
      </c>
      <c r="O168" s="138"/>
      <c r="P168" s="138">
        <v>7.5</v>
      </c>
      <c r="Q168" s="138"/>
      <c r="R168" s="187">
        <v>10</v>
      </c>
      <c r="S168" s="88">
        <f t="shared" si="5"/>
        <v>2.2000000000000002</v>
      </c>
      <c r="T168" s="226" t="str" cm="1">
        <f t="array" ref="T168">_xlfn._xlws.FILTER(D$5:$R$5, D168:R168=MIN(D168:R168))</f>
        <v>vendor 9</v>
      </c>
    </row>
    <row r="169" spans="1:21">
      <c r="A169" s="200"/>
      <c r="B169" s="286"/>
      <c r="C169" s="187" t="s">
        <v>332</v>
      </c>
      <c r="D169" s="138"/>
      <c r="E169" s="138"/>
      <c r="F169" s="138"/>
      <c r="G169" s="138"/>
      <c r="H169" s="138"/>
      <c r="I169" s="138">
        <v>5.75</v>
      </c>
      <c r="J169" s="138"/>
      <c r="K169" s="138">
        <v>2.5</v>
      </c>
      <c r="L169" s="141">
        <v>1.98</v>
      </c>
      <c r="M169" s="138"/>
      <c r="N169" s="138">
        <v>3</v>
      </c>
      <c r="O169" s="138"/>
      <c r="P169" s="138">
        <v>6</v>
      </c>
      <c r="Q169" s="138"/>
      <c r="R169" s="187">
        <v>9</v>
      </c>
      <c r="S169" s="88">
        <f t="shared" si="5"/>
        <v>1.98</v>
      </c>
      <c r="T169" s="226" t="str" cm="1">
        <f t="array" ref="T169">_xlfn._xlws.FILTER(D$5:$R$5, D169:R169=MIN(D169:R169))</f>
        <v>vendor 9</v>
      </c>
    </row>
    <row r="170" spans="1:21" s="174" customFormat="1">
      <c r="A170" s="198">
        <v>108</v>
      </c>
      <c r="B170" s="215" t="s">
        <v>443</v>
      </c>
      <c r="C170" s="279" t="s">
        <v>420</v>
      </c>
      <c r="D170" s="138"/>
      <c r="E170" s="138"/>
      <c r="F170" s="138"/>
      <c r="G170" s="138"/>
      <c r="H170" s="138"/>
      <c r="I170" s="138">
        <v>5.75</v>
      </c>
      <c r="J170" s="138"/>
      <c r="K170" s="138">
        <v>1</v>
      </c>
      <c r="L170" s="138">
        <v>1.3</v>
      </c>
      <c r="M170" s="138"/>
      <c r="N170" s="141">
        <v>0.36</v>
      </c>
      <c r="O170" s="138"/>
      <c r="P170" s="138">
        <v>6</v>
      </c>
      <c r="Q170" s="138">
        <v>8</v>
      </c>
      <c r="R170" s="187" t="s">
        <v>444</v>
      </c>
      <c r="S170" s="88">
        <f t="shared" si="5"/>
        <v>0.36</v>
      </c>
      <c r="T170" s="226" t="str" cm="1">
        <f t="array" ref="T170">_xlfn._xlws.FILTER(D$5:$R$5, D170:R170=MIN(D170:R170))</f>
        <v>vendor 11</v>
      </c>
      <c r="U170" s="137"/>
    </row>
    <row r="171" spans="1:21" s="174" customFormat="1">
      <c r="A171" s="200"/>
      <c r="B171" s="184"/>
      <c r="C171" s="279" t="s">
        <v>332</v>
      </c>
      <c r="D171" s="138"/>
      <c r="E171" s="138"/>
      <c r="F171" s="138"/>
      <c r="G171" s="138"/>
      <c r="H171" s="138"/>
      <c r="I171" s="138">
        <v>4.5999999999999996</v>
      </c>
      <c r="J171" s="138"/>
      <c r="K171" s="138">
        <v>0.7</v>
      </c>
      <c r="L171" s="138">
        <v>0.95</v>
      </c>
      <c r="M171" s="138"/>
      <c r="N171" s="141">
        <v>0.33</v>
      </c>
      <c r="O171" s="138"/>
      <c r="P171" s="138">
        <v>5</v>
      </c>
      <c r="Q171" s="138">
        <v>7</v>
      </c>
      <c r="R171" s="187" t="s">
        <v>444</v>
      </c>
      <c r="S171" s="88">
        <f t="shared" si="5"/>
        <v>0.33</v>
      </c>
      <c r="T171" s="226" t="str" cm="1">
        <f t="array" ref="T171">_xlfn._xlws.FILTER(D$5:$R$5, D171:R171=MIN(D171:R171))</f>
        <v>vendor 11</v>
      </c>
      <c r="U171" s="137"/>
    </row>
    <row r="172" spans="1:21" s="174" customFormat="1">
      <c r="A172" s="200"/>
      <c r="B172" s="184"/>
      <c r="C172" s="279" t="s">
        <v>339</v>
      </c>
      <c r="D172" s="138"/>
      <c r="E172" s="138"/>
      <c r="F172" s="138"/>
      <c r="G172" s="138"/>
      <c r="H172" s="138"/>
      <c r="I172" s="138">
        <v>3.45</v>
      </c>
      <c r="J172" s="138"/>
      <c r="K172" s="138">
        <v>0.6</v>
      </c>
      <c r="L172" s="138">
        <v>0.68</v>
      </c>
      <c r="M172" s="138"/>
      <c r="N172" s="141">
        <v>0.28999999999999998</v>
      </c>
      <c r="O172" s="138"/>
      <c r="P172" s="138">
        <v>3.5</v>
      </c>
      <c r="Q172" s="138">
        <v>6</v>
      </c>
      <c r="R172" s="187" t="s">
        <v>444</v>
      </c>
      <c r="S172" s="88">
        <f t="shared" si="5"/>
        <v>0.28999999999999998</v>
      </c>
      <c r="T172" s="226" t="str" cm="1">
        <f t="array" ref="T172">_xlfn._xlws.FILTER(D$5:$R$5, D172:R172=MIN(D172:R172))</f>
        <v>vendor 11</v>
      </c>
      <c r="U172" s="137"/>
    </row>
    <row r="173" spans="1:21">
      <c r="A173" s="198">
        <v>109</v>
      </c>
      <c r="B173" s="222" t="s">
        <v>445</v>
      </c>
      <c r="C173" s="283" t="s">
        <v>251</v>
      </c>
      <c r="D173" s="138"/>
      <c r="E173" s="138"/>
      <c r="F173" s="138"/>
      <c r="G173" s="138"/>
      <c r="H173" s="138"/>
      <c r="I173" s="138">
        <v>11.5</v>
      </c>
      <c r="J173" s="138"/>
      <c r="K173" s="141">
        <v>8</v>
      </c>
      <c r="L173" s="138">
        <v>18.399999999999999</v>
      </c>
      <c r="M173" s="138"/>
      <c r="N173" s="138">
        <v>25</v>
      </c>
      <c r="O173" s="138"/>
      <c r="P173" s="138">
        <v>12</v>
      </c>
      <c r="Q173" s="138"/>
      <c r="R173" s="187">
        <v>45</v>
      </c>
      <c r="S173" s="88">
        <f t="shared" si="5"/>
        <v>8</v>
      </c>
      <c r="T173" s="226" t="str" cm="1">
        <f t="array" ref="T173">_xlfn._xlws.FILTER(D$5:$R$5, D173:R173=MIN(D173:R173))</f>
        <v>vendor 8</v>
      </c>
    </row>
    <row r="174" spans="1:21">
      <c r="A174" s="200"/>
      <c r="B174" s="216" t="s">
        <v>446</v>
      </c>
      <c r="C174" s="279" t="s">
        <v>414</v>
      </c>
      <c r="D174" s="138"/>
      <c r="E174" s="138"/>
      <c r="F174" s="138"/>
      <c r="G174" s="138"/>
      <c r="H174" s="138"/>
      <c r="I174" s="138">
        <v>9.1999999999999993</v>
      </c>
      <c r="J174" s="138"/>
      <c r="K174" s="141">
        <v>8</v>
      </c>
      <c r="L174" s="138">
        <v>12.6</v>
      </c>
      <c r="M174" s="138"/>
      <c r="N174" s="138">
        <v>22</v>
      </c>
      <c r="O174" s="138"/>
      <c r="P174" s="138">
        <v>10</v>
      </c>
      <c r="Q174" s="138"/>
      <c r="R174" s="187">
        <v>42</v>
      </c>
      <c r="S174" s="88">
        <f t="shared" si="5"/>
        <v>8</v>
      </c>
      <c r="T174" s="226" t="str" cm="1">
        <f t="array" ref="T174">_xlfn._xlws.FILTER(D$5:$R$5, D174:R174=MIN(D174:R174))</f>
        <v>vendor 8</v>
      </c>
    </row>
    <row r="175" spans="1:21">
      <c r="A175" s="200"/>
      <c r="B175" s="216" t="s">
        <v>447</v>
      </c>
      <c r="C175" s="279" t="s">
        <v>412</v>
      </c>
      <c r="D175" s="138"/>
      <c r="E175" s="138"/>
      <c r="F175" s="138"/>
      <c r="G175" s="138"/>
      <c r="H175" s="138"/>
      <c r="I175" s="138">
        <v>9.1999999999999993</v>
      </c>
      <c r="J175" s="138"/>
      <c r="K175" s="138">
        <v>8</v>
      </c>
      <c r="L175" s="141">
        <v>7.62</v>
      </c>
      <c r="M175" s="138"/>
      <c r="N175" s="138">
        <v>20</v>
      </c>
      <c r="O175" s="138"/>
      <c r="P175" s="138">
        <v>12</v>
      </c>
      <c r="Q175" s="138"/>
      <c r="R175" s="187">
        <v>38</v>
      </c>
      <c r="S175" s="88">
        <f t="shared" si="5"/>
        <v>7.62</v>
      </c>
      <c r="T175" s="226" t="str" cm="1">
        <f t="array" ref="T175">_xlfn._xlws.FILTER(D$5:$R$5, D175:R175=MIN(D175:R175))</f>
        <v>vendor 9</v>
      </c>
    </row>
    <row r="176" spans="1:21">
      <c r="A176" s="120"/>
      <c r="B176" s="216" t="s">
        <v>448</v>
      </c>
      <c r="C176" s="279" t="s">
        <v>358</v>
      </c>
      <c r="D176" s="138"/>
      <c r="E176" s="138"/>
      <c r="F176" s="138"/>
      <c r="G176" s="138"/>
      <c r="H176" s="138"/>
      <c r="I176" s="138">
        <v>8.0500000000000007</v>
      </c>
      <c r="J176" s="138"/>
      <c r="K176" s="138">
        <v>8</v>
      </c>
      <c r="L176" s="141">
        <v>4.5999999999999996</v>
      </c>
      <c r="M176" s="138"/>
      <c r="N176" s="138">
        <v>18</v>
      </c>
      <c r="O176" s="138"/>
      <c r="P176" s="138">
        <v>10</v>
      </c>
      <c r="Q176" s="138"/>
      <c r="R176" s="187">
        <v>33</v>
      </c>
      <c r="S176" s="88">
        <f t="shared" si="5"/>
        <v>4.5999999999999996</v>
      </c>
      <c r="T176" s="226" t="str" cm="1">
        <f t="array" ref="T176">_xlfn._xlws.FILTER(D$5:$R$5, D176:R176=MIN(D176:R176))</f>
        <v>vendor 9</v>
      </c>
    </row>
    <row r="177" spans="1:20">
      <c r="A177" s="121"/>
      <c r="B177" s="223"/>
      <c r="C177" s="279" t="s">
        <v>332</v>
      </c>
      <c r="D177" s="138"/>
      <c r="E177" s="138"/>
      <c r="F177" s="138"/>
      <c r="G177" s="138"/>
      <c r="H177" s="138"/>
      <c r="I177" s="138">
        <v>7.48</v>
      </c>
      <c r="J177" s="138"/>
      <c r="K177" s="138">
        <v>7</v>
      </c>
      <c r="L177" s="141">
        <v>3.86</v>
      </c>
      <c r="M177" s="138"/>
      <c r="N177" s="138">
        <v>16</v>
      </c>
      <c r="O177" s="138"/>
      <c r="P177" s="138">
        <v>8</v>
      </c>
      <c r="Q177" s="138"/>
      <c r="R177" s="187">
        <v>29</v>
      </c>
      <c r="S177" s="88">
        <f t="shared" si="5"/>
        <v>3.86</v>
      </c>
      <c r="T177" s="226" t="str" cm="1">
        <f t="array" ref="T177">_xlfn._xlws.FILTER(D$5:$R$5, D177:R177=MIN(D177:R177))</f>
        <v>vendor 9</v>
      </c>
    </row>
    <row r="178" spans="1:20">
      <c r="A178" s="224"/>
      <c r="B178" s="225"/>
    </row>
    <row r="179" spans="1:20">
      <c r="A179" s="137"/>
      <c r="B179" s="137" t="s">
        <v>80</v>
      </c>
      <c r="R179" s="137"/>
    </row>
    <row r="180" spans="1:20">
      <c r="A180" s="137"/>
      <c r="B180" s="137" t="s">
        <v>81</v>
      </c>
      <c r="R180" s="137"/>
    </row>
    <row r="181" spans="1:20">
      <c r="B181" s="225"/>
    </row>
  </sheetData>
  <mergeCells count="28">
    <mergeCell ref="B152:B154"/>
    <mergeCell ref="A129:A130"/>
    <mergeCell ref="B129:B130"/>
    <mergeCell ref="A131:A133"/>
    <mergeCell ref="B131:B133"/>
    <mergeCell ref="A134:A136"/>
    <mergeCell ref="B134:B136"/>
    <mergeCell ref="A137:A139"/>
    <mergeCell ref="B137:B139"/>
    <mergeCell ref="A140:A142"/>
    <mergeCell ref="B140:B142"/>
    <mergeCell ref="A143:A145"/>
    <mergeCell ref="B4:D4"/>
    <mergeCell ref="T63:T64"/>
    <mergeCell ref="T109:T111"/>
    <mergeCell ref="A115:A117"/>
    <mergeCell ref="B115:B117"/>
    <mergeCell ref="A6:A13"/>
    <mergeCell ref="A14:A17"/>
    <mergeCell ref="A18:A22"/>
    <mergeCell ref="A23:A25"/>
    <mergeCell ref="A26:A28"/>
    <mergeCell ref="A71:A75"/>
    <mergeCell ref="B71:B75"/>
    <mergeCell ref="A76:A80"/>
    <mergeCell ref="B76:B80"/>
    <mergeCell ref="A112:A113"/>
    <mergeCell ref="B112:B113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28" fitToHeight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densri.ka</dc:creator>
  <cp:keywords/>
  <dc:description/>
  <cp:lastModifiedBy/>
  <cp:revision/>
  <dcterms:created xsi:type="dcterms:W3CDTF">2024-12-16T01:24:33Z</dcterms:created>
  <dcterms:modified xsi:type="dcterms:W3CDTF">2026-07-21T14:02:11Z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ew0KICAiZG9jSUQiOiAiZDY3YTU0NGItYjM0My00ZmIwLTgwM2YtODE0M2RiNjNhNGZkIg0KfQ==</vt:lpwstr>
  </property>
  <property fmtid="{D5CDD505-2E9C-101B-9397-08002B2CF9AE}" pid="3" name="GVData0">
    <vt:lpwstr>(end)</vt:lpwstr>
  </property>
</Properties>
</file>