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Variant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Vendor_Pr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9B59B6"/>
        <bgColor rgb="009B59B6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5" customWidth="1" min="3" max="3"/>
    <col width="30" customWidth="1" min="4" max="4"/>
    <col width="18" customWidth="1" min="5" max="5"/>
    <col width="18" customWidth="1" min="6" max="6"/>
    <col width="18" customWidth="1" min="7" max="7"/>
    <col width="18" customWidth="1" min="8" max="8"/>
    <col width="30" customWidth="1" min="9" max="9"/>
    <col width="40" customWidth="1" min="10" max="10"/>
  </cols>
  <sheetData>
    <row r="1">
      <c r="A1" s="1" t="inlineStr">
        <is>
          <t>Product Code</t>
        </is>
      </c>
      <c r="B1" s="1" t="inlineStr">
        <is>
          <t>Category</t>
        </is>
      </c>
      <c r="C1" s="1" t="inlineStr">
        <is>
          <t>Product Name</t>
        </is>
      </c>
      <c r="D1" s="1" t="inlineStr">
        <is>
          <t>Description</t>
        </is>
      </c>
      <c r="E1" s="1" t="inlineStr">
        <is>
          <t>Pricing Model</t>
        </is>
      </c>
      <c r="F1" s="1" t="inlineStr">
        <is>
          <t>Unit</t>
        </is>
      </c>
      <c r="G1" s="1" t="inlineStr">
        <is>
          <t>Formula</t>
        </is>
      </c>
      <c r="H1" s="1" t="inlineStr">
        <is>
          <t>Has Variants</t>
        </is>
      </c>
      <c r="I1" s="1" t="inlineStr">
        <is>
          <t>Related Products</t>
        </is>
      </c>
      <c r="J1" s="1" t="inlineStr">
        <is>
          <t>Notes</t>
        </is>
      </c>
    </row>
    <row r="2">
      <c r="A2" t="inlineStr">
        <is>
          <t>POSM-001</t>
        </is>
      </c>
      <c r="B2" t="inlineStr">
        <is>
          <t>POSM</t>
        </is>
      </c>
      <c r="C2" t="inlineStr">
        <is>
          <t>ร่มโค้ก</t>
        </is>
      </c>
      <c r="D2" t="inlineStr">
        <is>
          <t>ร่มสำหรับร้านค้า มีขนาด 36/40 นิ้ว × โครงเหล็ก/ไฟเบอร์ × สีตาย/ไล่ระดับสี</t>
        </is>
      </c>
      <c r="E2" t="inlineStr">
        <is>
          <t>flat</t>
        </is>
      </c>
      <c r="F2" t="inlineStr">
        <is>
          <t>piece</t>
        </is>
      </c>
      <c r="G2" t="inlineStr"/>
      <c r="H2" t="inlineStr">
        <is>
          <t>TRUE</t>
        </is>
      </c>
      <c r="I2" t="inlineStr"/>
      <c r="J2" t="inlineStr"/>
    </row>
    <row r="3">
      <c r="A3" t="inlineStr">
        <is>
          <t>POSM-002</t>
        </is>
      </c>
      <c r="B3" t="inlineStr">
        <is>
          <t>POSM</t>
        </is>
      </c>
      <c r="C3" t="inlineStr">
        <is>
          <t>กล่องทิชชู-โค้ก</t>
        </is>
      </c>
      <c r="D3" t="inlineStr">
        <is>
          <t>กล่องทิชชูพร้อมโลโก้โค้ก</t>
        </is>
      </c>
      <c r="E3" t="inlineStr">
        <is>
          <t>flat</t>
        </is>
      </c>
      <c r="F3" t="inlineStr">
        <is>
          <t>piece</t>
        </is>
      </c>
      <c r="G3" t="inlineStr"/>
      <c r="H3" t="inlineStr">
        <is>
          <t>FALSE</t>
        </is>
      </c>
      <c r="I3" t="inlineStr"/>
      <c r="J3" t="inlineStr"/>
    </row>
    <row r="4">
      <c r="A4" t="inlineStr">
        <is>
          <t>POSM-003</t>
        </is>
      </c>
      <c r="B4" t="inlineStr">
        <is>
          <t>POSM</t>
        </is>
      </c>
      <c r="C4" t="inlineStr">
        <is>
          <t>ผ้ากันเปื้อนโคคา-โคล่า</t>
        </is>
      </c>
      <c r="D4" t="inlineStr">
        <is>
          <t>เอี้ยม (เต็มตัว) ไขว้หลัง หรือ ครึ่งตัว</t>
        </is>
      </c>
      <c r="E4" t="inlineStr">
        <is>
          <t>flat</t>
        </is>
      </c>
      <c r="F4" t="inlineStr">
        <is>
          <t>piece</t>
        </is>
      </c>
      <c r="G4" t="inlineStr"/>
      <c r="H4" t="inlineStr">
        <is>
          <t>TRUE</t>
        </is>
      </c>
      <c r="I4" t="inlineStr"/>
      <c r="J4" t="inlineStr"/>
    </row>
    <row r="5">
      <c r="A5" t="inlineStr">
        <is>
          <t>POSM-004</t>
        </is>
      </c>
      <c r="B5" t="inlineStr">
        <is>
          <t>POSM</t>
        </is>
      </c>
      <c r="C5" t="inlineStr">
        <is>
          <t>ถังใส่น้ำแข็ง-โค้ก</t>
        </is>
      </c>
      <c r="D5" t="inlineStr">
        <is>
          <t>ทรงสี่เหลี่ยม</t>
        </is>
      </c>
      <c r="E5" t="inlineStr">
        <is>
          <t>flat</t>
        </is>
      </c>
      <c r="F5" t="inlineStr">
        <is>
          <t>piece</t>
        </is>
      </c>
      <c r="G5" t="inlineStr"/>
      <c r="H5" t="inlineStr">
        <is>
          <t>FALSE</t>
        </is>
      </c>
      <c r="I5" t="inlineStr"/>
      <c r="J5" t="inlineStr"/>
    </row>
    <row r="6">
      <c r="A6" t="inlineStr">
        <is>
          <t>POSM-005</t>
        </is>
      </c>
      <c r="B6" t="inlineStr">
        <is>
          <t>POSM</t>
        </is>
      </c>
      <c r="C6" t="inlineStr">
        <is>
          <t>กล่องใส่ช้อน/ตะเกียบ</t>
        </is>
      </c>
      <c r="D6" t="inlineStr">
        <is>
          <t>แบบแนวตั้ง</t>
        </is>
      </c>
      <c r="E6" t="inlineStr">
        <is>
          <t>flat</t>
        </is>
      </c>
      <c r="F6" t="inlineStr">
        <is>
          <t>piece</t>
        </is>
      </c>
      <c r="G6" t="inlineStr"/>
      <c r="H6" t="inlineStr">
        <is>
          <t>FALSE</t>
        </is>
      </c>
      <c r="I6" t="inlineStr"/>
      <c r="J6" t="inlineStr"/>
    </row>
    <row r="7">
      <c r="A7" t="inlineStr">
        <is>
          <t>POSM-006</t>
        </is>
      </c>
      <c r="B7" t="inlineStr">
        <is>
          <t>POSM</t>
        </is>
      </c>
      <c r="C7" t="inlineStr">
        <is>
          <t>Mega Rack</t>
        </is>
      </c>
      <c r="D7" t="inlineStr">
        <is>
          <t>แร็คสำหรับ TT-DSD และ WS มีขนาด 120x40x150 cm และ 150x60x150 cm</t>
        </is>
      </c>
      <c r="E7" t="inlineStr">
        <is>
          <t>flat</t>
        </is>
      </c>
      <c r="F7" t="inlineStr">
        <is>
          <t>piece</t>
        </is>
      </c>
      <c r="G7" t="inlineStr"/>
      <c r="H7" t="inlineStr">
        <is>
          <t>TRUE</t>
        </is>
      </c>
      <c r="I7" t="inlineStr"/>
      <c r="J7" t="inlineStr"/>
    </row>
    <row r="8">
      <c r="A8" t="inlineStr">
        <is>
          <t>PRINT-001</t>
        </is>
      </c>
      <c r="B8" t="inlineStr">
        <is>
          <t>Printing</t>
        </is>
      </c>
      <c r="C8" t="inlineStr">
        <is>
          <t>PP Board</t>
        </is>
      </c>
      <c r="D8" t="inlineStr">
        <is>
          <t>ป้ายหน้าเคาน์เตอร์ มีขนาด 120x120, 85x190, 70x150 cm</t>
        </is>
      </c>
      <c r="E8" t="inlineStr">
        <is>
          <t>flat</t>
        </is>
      </c>
      <c r="F8" t="inlineStr">
        <is>
          <t>piece</t>
        </is>
      </c>
      <c r="G8" t="inlineStr"/>
      <c r="H8" t="inlineStr">
        <is>
          <t>TRUE</t>
        </is>
      </c>
      <c r="I8" t="inlineStr"/>
      <c r="J8" t="inlineStr"/>
    </row>
    <row r="9">
      <c r="A9" t="inlineStr">
        <is>
          <t>PRINT-002</t>
        </is>
      </c>
      <c r="B9" t="inlineStr">
        <is>
          <t>Printing</t>
        </is>
      </c>
      <c r="C9" t="inlineStr">
        <is>
          <t>ป้ายรายการอาหารโค้ก</t>
        </is>
      </c>
      <c r="D9" t="inlineStr">
        <is>
          <t>60x120 cm</t>
        </is>
      </c>
      <c r="E9" t="inlineStr">
        <is>
          <t>flat</t>
        </is>
      </c>
      <c r="F9" t="inlineStr">
        <is>
          <t>piece</t>
        </is>
      </c>
      <c r="G9" t="inlineStr"/>
      <c r="H9" t="inlineStr">
        <is>
          <t>FALSE</t>
        </is>
      </c>
      <c r="I9" t="inlineStr"/>
      <c r="J9" t="inlineStr"/>
    </row>
    <row r="10">
      <c r="A10" t="inlineStr">
        <is>
          <t>PRINT-003</t>
        </is>
      </c>
      <c r="B10" t="inlineStr">
        <is>
          <t>Printing</t>
        </is>
      </c>
      <c r="C10" t="inlineStr">
        <is>
          <t>แบนเนอร์โค้ก</t>
        </is>
      </c>
      <c r="D10" t="inlineStr">
        <is>
          <t>80x300 cm</t>
        </is>
      </c>
      <c r="E10" t="inlineStr">
        <is>
          <t>flat</t>
        </is>
      </c>
      <c r="F10" t="inlineStr">
        <is>
          <t>piece</t>
        </is>
      </c>
      <c r="G10" t="inlineStr"/>
      <c r="H10" t="inlineStr">
        <is>
          <t>FALSE</t>
        </is>
      </c>
      <c r="I10" t="inlineStr"/>
      <c r="J10" t="inlineStr"/>
    </row>
    <row r="11">
      <c r="A11" t="inlineStr">
        <is>
          <t>PRINT-004</t>
        </is>
      </c>
      <c r="B11" t="inlineStr">
        <is>
          <t>Printing</t>
        </is>
      </c>
      <c r="C11" t="inlineStr">
        <is>
          <t>ผ้าใบกันสาด-โค้ก</t>
        </is>
      </c>
      <c r="D11" t="inlineStr">
        <is>
          <t>1.8x3.5 m</t>
        </is>
      </c>
      <c r="E11" t="inlineStr">
        <is>
          <t>flat</t>
        </is>
      </c>
      <c r="F11" t="inlineStr">
        <is>
          <t>piece</t>
        </is>
      </c>
      <c r="G11" t="inlineStr"/>
      <c r="H11" t="inlineStr">
        <is>
          <t>FALSE</t>
        </is>
      </c>
      <c r="I11" t="inlineStr"/>
      <c r="J11" t="inlineStr"/>
    </row>
    <row r="12">
      <c r="A12" t="inlineStr">
        <is>
          <t>PRINT-005</t>
        </is>
      </c>
      <c r="B12" t="inlineStr">
        <is>
          <t>Printing</t>
        </is>
      </c>
      <c r="C12" t="inlineStr">
        <is>
          <t>แผ่นริจิ-โค้ก</t>
        </is>
      </c>
      <c r="D12" t="inlineStr">
        <is>
          <t>มีขนาด 16x24 นิ้ว และ 24x32 นิ้ว</t>
        </is>
      </c>
      <c r="E12" t="inlineStr">
        <is>
          <t>flat</t>
        </is>
      </c>
      <c r="F12" t="inlineStr">
        <is>
          <t>piece</t>
        </is>
      </c>
      <c r="G12" t="inlineStr"/>
      <c r="H12" t="inlineStr">
        <is>
          <t>TRUE</t>
        </is>
      </c>
      <c r="I12" t="inlineStr"/>
      <c r="J12" t="inlineStr"/>
    </row>
    <row r="13">
      <c r="A13" t="inlineStr">
        <is>
          <t>GARMT-001</t>
        </is>
      </c>
      <c r="B13" t="inlineStr">
        <is>
          <t>Garment</t>
        </is>
      </c>
      <c r="C13" t="inlineStr">
        <is>
          <t>เสื้อยืด</t>
        </is>
      </c>
      <c r="D13" t="inlineStr">
        <is>
          <t>Cotton สีขาว หรือ สีอื่นๆ (สีอ่อน +5฿ / สีกลาง +10฿ / สีเข้ม +20฿)</t>
        </is>
      </c>
      <c r="E13" t="inlineStr">
        <is>
          <t>flat</t>
        </is>
      </c>
      <c r="F13" t="inlineStr">
        <is>
          <t>piece</t>
        </is>
      </c>
      <c r="G13" t="inlineStr"/>
      <c r="H13" t="inlineStr">
        <is>
          <t>TRUE</t>
        </is>
      </c>
      <c r="I13" t="inlineStr"/>
      <c r="J13" t="inlineStr"/>
    </row>
    <row r="14">
      <c r="A14" t="inlineStr">
        <is>
          <t>GARMT-002</t>
        </is>
      </c>
      <c r="B14" t="inlineStr">
        <is>
          <t>Garment</t>
        </is>
      </c>
      <c r="C14" t="inlineStr">
        <is>
          <t>เสื้อโปโล TC</t>
        </is>
      </c>
      <c r="D14" t="inlineStr">
        <is>
          <t>ผ้า TC สีขาว หรือ สีอื่นๆ</t>
        </is>
      </c>
      <c r="E14" t="inlineStr">
        <is>
          <t>flat</t>
        </is>
      </c>
      <c r="F14" t="inlineStr">
        <is>
          <t>piece</t>
        </is>
      </c>
      <c r="G14" t="inlineStr"/>
      <c r="H14" t="inlineStr">
        <is>
          <t>TRUE</t>
        </is>
      </c>
      <c r="I14" t="inlineStr"/>
      <c r="J14" t="inlineStr"/>
    </row>
    <row r="15">
      <c r="A15" t="inlineStr">
        <is>
          <t>GARMT-003</t>
        </is>
      </c>
      <c r="B15" t="inlineStr">
        <is>
          <t>Garment</t>
        </is>
      </c>
      <c r="C15" t="inlineStr">
        <is>
          <t>เสื้อโปโล ผ้าไมโคร</t>
        </is>
      </c>
      <c r="D15" t="inlineStr">
        <is>
          <t>ซับลิเมชั่น</t>
        </is>
      </c>
      <c r="E15" t="inlineStr">
        <is>
          <t>flat</t>
        </is>
      </c>
      <c r="F15" t="inlineStr">
        <is>
          <t>piece</t>
        </is>
      </c>
      <c r="G15" t="inlineStr"/>
      <c r="H15" t="inlineStr">
        <is>
          <t>FALSE</t>
        </is>
      </c>
      <c r="I15" t="inlineStr"/>
      <c r="J15" t="inlineStr"/>
    </row>
    <row r="16">
      <c r="A16" t="inlineStr">
        <is>
          <t>GARMT-004</t>
        </is>
      </c>
      <c r="B16" t="inlineStr">
        <is>
          <t>Garment</t>
        </is>
      </c>
      <c r="C16" t="inlineStr">
        <is>
          <t>สกรีน</t>
        </is>
      </c>
      <c r="D16" t="inlineStr">
        <is>
          <t>1-4 สี</t>
        </is>
      </c>
      <c r="E16" t="inlineStr">
        <is>
          <t>flat</t>
        </is>
      </c>
      <c r="F16" t="inlineStr">
        <is>
          <t>piece</t>
        </is>
      </c>
      <c r="G16" t="inlineStr"/>
      <c r="H16" t="inlineStr">
        <is>
          <t>TRUE</t>
        </is>
      </c>
      <c r="I16" t="inlineStr"/>
      <c r="J16" t="inlineStr"/>
    </row>
    <row r="17">
      <c r="A17" t="inlineStr">
        <is>
          <t>PREM-001</t>
        </is>
      </c>
      <c r="B17" t="inlineStr">
        <is>
          <t>Premium</t>
        </is>
      </c>
      <c r="C17" t="inlineStr">
        <is>
          <t>แก้วกระดาษ</t>
        </is>
      </c>
      <c r="D17" t="inlineStr">
        <is>
          <t>แก้วกระดาษพิมพ์โลโก้ มีขนาด 6.5 ออนซ์ และ 22 ออนซ์</t>
        </is>
      </c>
      <c r="E17" t="inlineStr">
        <is>
          <t>flat</t>
        </is>
      </c>
      <c r="F17" t="inlineStr">
        <is>
          <t>piece</t>
        </is>
      </c>
      <c r="G17" t="inlineStr"/>
      <c r="H17" t="inlineStr">
        <is>
          <t>TRUE</t>
        </is>
      </c>
      <c r="I17" t="inlineStr"/>
      <c r="J17" t="inlineStr"/>
    </row>
    <row r="18">
      <c r="A18" t="inlineStr">
        <is>
          <t>PREM-003</t>
        </is>
      </c>
      <c r="B18" t="inlineStr">
        <is>
          <t>Premium</t>
        </is>
      </c>
      <c r="C18" t="inlineStr">
        <is>
          <t>ร่มเสาข้าง</t>
        </is>
      </c>
      <c r="D18" t="inlineStr">
        <is>
          <t>ร่มขนาดใหญ่สำหรับร้านค้า</t>
        </is>
      </c>
      <c r="E18" t="inlineStr">
        <is>
          <t>flat</t>
        </is>
      </c>
      <c r="F18" t="inlineStr">
        <is>
          <t>piece</t>
        </is>
      </c>
      <c r="G18" t="inlineStr"/>
      <c r="H18" t="inlineStr">
        <is>
          <t>FALSE</t>
        </is>
      </c>
      <c r="I18" t="inlineStr"/>
      <c r="J18" t="inlineStr"/>
    </row>
    <row r="19">
      <c r="A19" t="inlineStr">
        <is>
          <t>PREM-004</t>
        </is>
      </c>
      <c r="B19" t="inlineStr">
        <is>
          <t>Premium</t>
        </is>
      </c>
      <c r="C19" t="inlineStr">
        <is>
          <t>Bean Bag</t>
        </is>
      </c>
      <c r="D19" t="inlineStr">
        <is>
          <t>หนังชามัวร์ หรือ วัสดุผ้า</t>
        </is>
      </c>
      <c r="E19" t="inlineStr">
        <is>
          <t>flat</t>
        </is>
      </c>
      <c r="F19" t="inlineStr">
        <is>
          <t>piece</t>
        </is>
      </c>
      <c r="G19" t="inlineStr"/>
      <c r="H19" t="inlineStr">
        <is>
          <t>TRUE</t>
        </is>
      </c>
      <c r="I19" t="inlineStr"/>
      <c r="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PROCUREMENT PRICE TEMPLATE v2.0</t>
        </is>
      </c>
    </row>
    <row r="3">
      <c r="A3" t="inlineStr"/>
    </row>
    <row r="4">
      <c r="A4" t="inlineStr">
        <is>
          <t>📋 SHEET DESCRIPTIONS:</t>
        </is>
      </c>
    </row>
    <row r="5">
      <c r="A5" t="inlineStr"/>
    </row>
    <row r="6">
      <c r="A6" t="inlineStr">
        <is>
          <t>1. Products - Master product list</t>
        </is>
      </c>
    </row>
    <row r="7">
      <c r="A7" t="inlineStr">
        <is>
          <t xml:space="preserve">   • product_id: Unique ID (e.g., POSM-001, GARMT-001)</t>
        </is>
      </c>
    </row>
    <row r="8">
      <c r="A8" t="inlineStr">
        <is>
          <t xml:space="preserve">   • pricing_model: flat / unit / tiered</t>
        </is>
      </c>
    </row>
    <row r="9">
      <c r="A9" t="inlineStr">
        <is>
          <t xml:space="preserve">   • unit: piece / sqm / set / etc.</t>
        </is>
      </c>
    </row>
    <row r="10">
      <c r="A10" t="inlineStr">
        <is>
          <t xml:space="preserve">   • formula: for unit-based (e.g., 'width * height')</t>
        </is>
      </c>
    </row>
    <row r="11">
      <c r="A11" t="inlineStr"/>
    </row>
    <row r="12">
      <c r="A12" t="inlineStr">
        <is>
          <t>2. Variants - Product variations</t>
        </is>
      </c>
    </row>
    <row r="13">
      <c r="A13" t="inlineStr">
        <is>
          <t xml:space="preserve">   • For products with multiple specs (color, size, material)</t>
        </is>
      </c>
    </row>
    <row r="14">
      <c r="A14" t="inlineStr">
        <is>
          <t xml:space="preserve">   • base_price_modifier: additional cost (+5, +10, etc.)</t>
        </is>
      </c>
    </row>
    <row r="15">
      <c r="A15" t="inlineStr"/>
    </row>
    <row r="16">
      <c r="A16" t="inlineStr">
        <is>
          <t>3. Vendor_Prices - Actual pricing from vendors</t>
        </is>
      </c>
    </row>
    <row r="17">
      <c r="A17" t="inlineStr">
        <is>
          <t xml:space="preserve">   • qty_min/max: price brackets (for tiered pricing)</t>
        </is>
      </c>
    </row>
    <row r="18">
      <c r="A18" t="inlineStr">
        <is>
          <t xml:space="preserve">   • is_winner: TRUE for lowest price in each bracket</t>
        </is>
      </c>
    </row>
    <row r="19">
      <c r="A19" t="inlineStr"/>
    </row>
    <row r="20">
      <c r="A20" t="inlineStr">
        <is>
          <t>4. Related_Products - Accessories/add-ons</t>
        </is>
      </c>
    </row>
    <row r="21">
      <c r="A21" t="inlineStr">
        <is>
          <t xml:space="preserve">   • relation_type: accessory / alternative / bundle</t>
        </is>
      </c>
    </row>
    <row r="22">
      <c r="A22" t="inlineStr">
        <is>
          <t xml:space="preserve">   • required: TRUE if must-have (e.g., flag base)</t>
        </is>
      </c>
    </row>
    <row r="23">
      <c r="A23" t="inlineStr"/>
    </row>
    <row r="24">
      <c r="A24" t="inlineStr">
        <is>
          <t>5. Pricing_Rules - Complex modifiers (optional)</t>
        </is>
      </c>
    </row>
    <row r="25">
      <c r="A25" t="inlineStr">
        <is>
          <t xml:space="preserve">   • Use when modifiers are too complex for Variants sheet</t>
        </is>
      </c>
    </row>
    <row r="26">
      <c r="A26" t="inlineStr"/>
    </row>
    <row r="27">
      <c r="A27" t="inlineStr">
        <is>
          <t>🎯 PRICING MODELS:</t>
        </is>
      </c>
    </row>
    <row r="28">
      <c r="A28" t="inlineStr"/>
    </row>
    <row r="29">
      <c r="A29" t="inlineStr">
        <is>
          <t>• FLAT: fixed price per unit</t>
        </is>
      </c>
    </row>
    <row r="30">
      <c r="A30" t="inlineStr">
        <is>
          <t xml:space="preserve">  Example: ร่มโค้ก = 523 บาท/อัน</t>
        </is>
      </c>
    </row>
    <row r="31">
      <c r="A31" t="inlineStr"/>
    </row>
    <row r="32">
      <c r="A32" t="inlineStr">
        <is>
          <t>• UNIT: price per measurement unit (sqm, meter, etc.)</t>
        </is>
      </c>
    </row>
    <row r="33">
      <c r="A33" t="inlineStr">
        <is>
          <t xml:space="preserve">  Example: ป้ายไวนิล = 150 บาท/ตร.ม.</t>
        </is>
      </c>
    </row>
    <row r="34">
      <c r="A34" t="inlineStr">
        <is>
          <t xml:space="preserve">  → User: '2×3 เมตร' → 6 ตร.ม. × 150 = 900 บาท</t>
        </is>
      </c>
    </row>
    <row r="35">
      <c r="A35" t="inlineStr"/>
    </row>
    <row r="36">
      <c r="A36" t="inlineStr">
        <is>
          <t>• TIERED: price varies by quantity bracket</t>
        </is>
      </c>
    </row>
    <row r="37">
      <c r="A37" t="inlineStr">
        <is>
          <t xml:space="preserve">  Example: สติ๊กเกอร์ PVC</t>
        </is>
      </c>
    </row>
    <row r="38">
      <c r="A38" t="inlineStr">
        <is>
          <t xml:space="preserve">  → 1-100 ชิ้น = 5 บาท/ชิ้น</t>
        </is>
      </c>
    </row>
    <row r="39">
      <c r="A39" t="inlineStr">
        <is>
          <t xml:space="preserve">  → 101-500 ชิ้น = 4 บาท/ชิ้น</t>
        </is>
      </c>
    </row>
    <row r="40">
      <c r="A40" t="inlineStr">
        <is>
          <t xml:space="preserve">  → 501+ ชิ้น = 3 บาท/ชิ้น</t>
        </is>
      </c>
    </row>
    <row r="41">
      <c r="A41" t="inlineStr"/>
    </row>
    <row r="42">
      <c r="A42" t="inlineStr">
        <is>
          <t>⚠️ IMPORTANT NOTES:</t>
        </is>
      </c>
    </row>
    <row r="43">
      <c r="A43" t="inlineStr"/>
    </row>
    <row r="44">
      <c r="A44" t="inlineStr">
        <is>
          <t>• All prices in THB</t>
        </is>
      </c>
    </row>
    <row r="45">
      <c r="A45" t="inlineStr">
        <is>
          <t>• year = 2026 (update annually)</t>
        </is>
      </c>
    </row>
    <row r="46">
      <c r="A46" t="inlineStr">
        <is>
          <t>• Flag unit-based products in 'notes' column</t>
        </is>
      </c>
    </row>
    <row r="47">
      <c r="A47" t="inlineStr">
        <is>
          <t>• LLM will auto-convert units (cm→m, นิ้ว→cm)</t>
        </is>
      </c>
    </row>
    <row r="48">
      <c r="A48" t="inlineStr">
        <is>
          <t>• Related products: will be suggested by LLM if missing dimensions</t>
        </is>
      </c>
    </row>
    <row r="49">
      <c r="A49" t="inlineStr"/>
    </row>
    <row r="50">
      <c r="A50" t="inlineStr">
        <is>
          <t>📞 SUPPORT:</t>
        </is>
      </c>
    </row>
    <row r="51">
      <c r="A51" t="inlineStr">
        <is>
          <t>IT Team - Supakorn E. (supakorn@haadthip.com)</t>
        </is>
      </c>
    </row>
    <row r="52">
      <c r="A52" t="inlineStr">
        <is>
          <t>Procurement - Densri K. (densri@haadthip.com)</t>
        </is>
      </c>
    </row>
    <row r="53">
      <c r="A53" t="inlineStr"/>
    </row>
    <row r="54">
      <c r="A54" t="inlineStr">
        <is>
          <t>Last updated: 2026-07-31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  <col width="18" customWidth="1" min="9" max="9"/>
  </cols>
  <sheetData>
    <row r="1">
      <c r="A1" s="3" t="inlineStr">
        <is>
          <t>Variant Code</t>
        </is>
      </c>
      <c r="B1" s="3" t="inlineStr">
        <is>
          <t>Product Code</t>
        </is>
      </c>
      <c r="C1" s="3" t="inlineStr">
        <is>
          <t>Description</t>
        </is>
      </c>
      <c r="D1" s="3" t="inlineStr">
        <is>
          <t>Attribute</t>
        </is>
      </c>
      <c r="E1" s="3" t="inlineStr">
        <is>
          <t>Condition</t>
        </is>
      </c>
      <c r="F1" s="3" t="inlineStr">
        <is>
          <t>Base Price Modifier</t>
        </is>
      </c>
      <c r="G1" s="3" t="inlineStr">
        <is>
          <t>Modifier Type</t>
        </is>
      </c>
      <c r="H1" s="3" t="inlineStr">
        <is>
          <t>Priority</t>
        </is>
      </c>
      <c r="I1" s="3" t="inlineStr">
        <is>
          <t>Notes</t>
        </is>
      </c>
    </row>
    <row r="2">
      <c r="A2" t="inlineStr">
        <is>
          <t>POSM-001-V1</t>
        </is>
      </c>
      <c r="B2" t="inlineStr">
        <is>
          <t>POSM-001</t>
        </is>
      </c>
      <c r="C2" t="inlineStr">
        <is>
          <t>36 นิ้ว โครงเหล็ก สีตาย (ไม่เกิน 4 สี)</t>
        </is>
      </c>
      <c r="D2" t="inlineStr">
        <is>
          <t>ขนาด+โครง+สี</t>
        </is>
      </c>
      <c r="E2" t="inlineStr">
        <is>
          <t>36นิ้ว,เหล็ก,สีตาย</t>
        </is>
      </c>
      <c r="F2" t="inlineStr">
        <is>
          <t>0</t>
        </is>
      </c>
      <c r="G2" t="inlineStr">
        <is>
          <t>+</t>
        </is>
      </c>
      <c r="H2" t="inlineStr">
        <is>
          <t>1</t>
        </is>
      </c>
      <c r="I2" t="inlineStr"/>
    </row>
    <row r="3">
      <c r="A3" t="inlineStr">
        <is>
          <t>POSM-001-V2</t>
        </is>
      </c>
      <c r="B3" t="inlineStr">
        <is>
          <t>POSM-001</t>
        </is>
      </c>
      <c r="C3" t="inlineStr">
        <is>
          <t>36 นิ้ว โครงเหล็ก ไล่ระดับสี (ไม่เกิน 8 เฉด)</t>
        </is>
      </c>
      <c r="D3" t="inlineStr">
        <is>
          <t>ขนาด+โครง+สี</t>
        </is>
      </c>
      <c r="E3" t="inlineStr">
        <is>
          <t>36นิ้ว,เหล็ก,ไล่ระดับสี</t>
        </is>
      </c>
      <c r="F3" t="inlineStr">
        <is>
          <t>5</t>
        </is>
      </c>
      <c r="G3" t="inlineStr">
        <is>
          <t>+</t>
        </is>
      </c>
      <c r="H3" t="inlineStr">
        <is>
          <t>2</t>
        </is>
      </c>
      <c r="I3" t="inlineStr">
        <is>
          <t>+5 บาทจากสีตาย</t>
        </is>
      </c>
    </row>
    <row r="4">
      <c r="A4" t="inlineStr">
        <is>
          <t>POSM-001-V3</t>
        </is>
      </c>
      <c r="B4" t="inlineStr">
        <is>
          <t>POSM-001</t>
        </is>
      </c>
      <c r="C4" t="inlineStr">
        <is>
          <t>36 นิ้ว โครงไฟเบอร์ สีตาย (ไม่เกิน 4 สี)</t>
        </is>
      </c>
      <c r="D4" t="inlineStr">
        <is>
          <t>ขนาด+โครง+สี</t>
        </is>
      </c>
      <c r="E4" t="inlineStr">
        <is>
          <t>36นิ้ว,ไฟเบอร์,สีตาย</t>
        </is>
      </c>
      <c r="F4" t="inlineStr">
        <is>
          <t>0</t>
        </is>
      </c>
      <c r="G4" t="inlineStr">
        <is>
          <t>+</t>
        </is>
      </c>
      <c r="H4" t="inlineStr">
        <is>
          <t>1</t>
        </is>
      </c>
      <c r="I4" t="inlineStr"/>
    </row>
    <row r="5">
      <c r="A5" t="inlineStr">
        <is>
          <t>POSM-001-V4</t>
        </is>
      </c>
      <c r="B5" t="inlineStr">
        <is>
          <t>POSM-001</t>
        </is>
      </c>
      <c r="C5" t="inlineStr">
        <is>
          <t>36 นิ้ว โครงไฟเบอร์ ไล่ระดับสี (ไม่เกิน 8 เฉด)</t>
        </is>
      </c>
      <c r="D5" t="inlineStr">
        <is>
          <t>ขนาด+โครง+สี</t>
        </is>
      </c>
      <c r="E5" t="inlineStr">
        <is>
          <t>36นิ้ว,ไฟเบอร์,ไล่ระดับสี</t>
        </is>
      </c>
      <c r="F5" t="inlineStr">
        <is>
          <t>5</t>
        </is>
      </c>
      <c r="G5" t="inlineStr">
        <is>
          <t>+</t>
        </is>
      </c>
      <c r="H5" t="inlineStr">
        <is>
          <t>2</t>
        </is>
      </c>
      <c r="I5" t="inlineStr">
        <is>
          <t>+5 บาทจากสีตาย</t>
        </is>
      </c>
    </row>
    <row r="6">
      <c r="A6" t="inlineStr">
        <is>
          <t>POSM-001-V5</t>
        </is>
      </c>
      <c r="B6" t="inlineStr">
        <is>
          <t>POSM-001</t>
        </is>
      </c>
      <c r="C6" t="inlineStr">
        <is>
          <t>40 นิ้ว โครงเหล็ก สีตาย (ไม่เกิน 4 สี)</t>
        </is>
      </c>
      <c r="D6" t="inlineStr">
        <is>
          <t>ขนาด+โครง+สี</t>
        </is>
      </c>
      <c r="E6" t="inlineStr">
        <is>
          <t>40นิ้ว,เหล็ก,สีตาย</t>
        </is>
      </c>
      <c r="F6" t="inlineStr">
        <is>
          <t>20</t>
        </is>
      </c>
      <c r="G6" t="inlineStr">
        <is>
          <t>+</t>
        </is>
      </c>
      <c r="H6" t="inlineStr">
        <is>
          <t>1</t>
        </is>
      </c>
      <c r="I6" t="inlineStr">
        <is>
          <t>+20 บาทจาก 36 นิ้ว</t>
        </is>
      </c>
    </row>
    <row r="7">
      <c r="A7" t="inlineStr">
        <is>
          <t>POSM-001-V6</t>
        </is>
      </c>
      <c r="B7" t="inlineStr">
        <is>
          <t>POSM-001</t>
        </is>
      </c>
      <c r="C7" t="inlineStr">
        <is>
          <t>40 นิ้ว โครงเหล็ก ไล่ระดับสี (ไม่เกิน 8 เฉด)</t>
        </is>
      </c>
      <c r="D7" t="inlineStr">
        <is>
          <t>ขนาด+โครง+สี</t>
        </is>
      </c>
      <c r="E7" t="inlineStr">
        <is>
          <t>40นิ้ว,เหล็ก,ไล่ระดับสี</t>
        </is>
      </c>
      <c r="F7" t="inlineStr">
        <is>
          <t>25</t>
        </is>
      </c>
      <c r="G7" t="inlineStr">
        <is>
          <t>+</t>
        </is>
      </c>
      <c r="H7" t="inlineStr">
        <is>
          <t>2</t>
        </is>
      </c>
      <c r="I7" t="inlineStr">
        <is>
          <t>+25 บาทจาก 36 นิ้ว</t>
        </is>
      </c>
    </row>
    <row r="8">
      <c r="A8" t="inlineStr">
        <is>
          <t>POSM-001-V7</t>
        </is>
      </c>
      <c r="B8" t="inlineStr">
        <is>
          <t>POSM-001</t>
        </is>
      </c>
      <c r="C8" t="inlineStr">
        <is>
          <t>40 นิ้ว โครงไฟเบอร์ สีตาย (ไม่เกิน 4 สี)</t>
        </is>
      </c>
      <c r="D8" t="inlineStr">
        <is>
          <t>ขนาด+โครง+สี</t>
        </is>
      </c>
      <c r="E8" t="inlineStr">
        <is>
          <t>40นิ้ว,ไฟเบอร์,สีตาย</t>
        </is>
      </c>
      <c r="F8" t="inlineStr">
        <is>
          <t>20</t>
        </is>
      </c>
      <c r="G8" t="inlineStr">
        <is>
          <t>+</t>
        </is>
      </c>
      <c r="H8" t="inlineStr">
        <is>
          <t>1</t>
        </is>
      </c>
      <c r="I8" t="inlineStr">
        <is>
          <t>+20 บาทจาก 36 นิ้ว</t>
        </is>
      </c>
    </row>
    <row r="9">
      <c r="A9" t="inlineStr">
        <is>
          <t>POSM-001-V8</t>
        </is>
      </c>
      <c r="B9" t="inlineStr">
        <is>
          <t>POSM-001</t>
        </is>
      </c>
      <c r="C9" t="inlineStr">
        <is>
          <t>40 นิ้ว โครงไฟเบอร์ ไล่ระดับสี (ไม่เกิน 8 เฉด)</t>
        </is>
      </c>
      <c r="D9" t="inlineStr">
        <is>
          <t>ขนาด+โครง+สี</t>
        </is>
      </c>
      <c r="E9" t="inlineStr">
        <is>
          <t>40นิ้ว,ไฟเบอร์,ไล่ระดับสี</t>
        </is>
      </c>
      <c r="F9" t="inlineStr">
        <is>
          <t>25</t>
        </is>
      </c>
      <c r="G9" t="inlineStr">
        <is>
          <t>+</t>
        </is>
      </c>
      <c r="H9" t="inlineStr">
        <is>
          <t>2</t>
        </is>
      </c>
      <c r="I9" t="inlineStr">
        <is>
          <t>+25 บาทจาก 36 นิ้ว</t>
        </is>
      </c>
    </row>
    <row r="10">
      <c r="A10" t="inlineStr">
        <is>
          <t>POSM-003-V1</t>
        </is>
      </c>
      <c r="B10" t="inlineStr">
        <is>
          <t>POSM-003</t>
        </is>
      </c>
      <c r="C10" t="inlineStr">
        <is>
          <t>เอี้ยม (เต็มตัว) ไขว้หลัง</t>
        </is>
      </c>
      <c r="D10" t="inlineStr">
        <is>
          <t>แบบ</t>
        </is>
      </c>
      <c r="E10" t="inlineStr">
        <is>
          <t>เต็มตัว</t>
        </is>
      </c>
      <c r="F10" t="inlineStr">
        <is>
          <t>0</t>
        </is>
      </c>
      <c r="G10" t="inlineStr">
        <is>
          <t>+</t>
        </is>
      </c>
      <c r="H10" t="inlineStr">
        <is>
          <t>1</t>
        </is>
      </c>
      <c r="I10" t="inlineStr"/>
    </row>
    <row r="11">
      <c r="A11" t="inlineStr">
        <is>
          <t>POSM-003-V2</t>
        </is>
      </c>
      <c r="B11" t="inlineStr">
        <is>
          <t>POSM-003</t>
        </is>
      </c>
      <c r="C11" t="inlineStr">
        <is>
          <t>ครึ่งตัว</t>
        </is>
      </c>
      <c r="D11" t="inlineStr">
        <is>
          <t>แบบ</t>
        </is>
      </c>
      <c r="E11" t="inlineStr">
        <is>
          <t>ครึ่งตัว</t>
        </is>
      </c>
      <c r="F11" t="inlineStr">
        <is>
          <t>-10</t>
        </is>
      </c>
      <c r="G11" t="inlineStr">
        <is>
          <t>+</t>
        </is>
      </c>
      <c r="H11" t="inlineStr">
        <is>
          <t>1</t>
        </is>
      </c>
      <c r="I11" t="inlineStr">
        <is>
          <t>ถูกกว่าแบบเต็มตัว</t>
        </is>
      </c>
    </row>
    <row r="12">
      <c r="A12" t="inlineStr">
        <is>
          <t>POSM-006-V1</t>
        </is>
      </c>
      <c r="B12" t="inlineStr">
        <is>
          <t>POSM-006</t>
        </is>
      </c>
      <c r="C12" t="inlineStr">
        <is>
          <t>120x40x150 cm (TT-DSD)</t>
        </is>
      </c>
      <c r="D12" t="inlineStr">
        <is>
          <t>ขนาด+ประเภท</t>
        </is>
      </c>
      <c r="E12" t="inlineStr">
        <is>
          <t>120x40x150,TT-DSD</t>
        </is>
      </c>
      <c r="F12" t="inlineStr">
        <is>
          <t>0</t>
        </is>
      </c>
      <c r="G12" t="inlineStr">
        <is>
          <t>+</t>
        </is>
      </c>
      <c r="H12" t="inlineStr">
        <is>
          <t>1</t>
        </is>
      </c>
      <c r="I12" t="inlineStr"/>
    </row>
    <row r="13">
      <c r="A13" t="inlineStr">
        <is>
          <t>POSM-006-V2</t>
        </is>
      </c>
      <c r="B13" t="inlineStr">
        <is>
          <t>POSM-006</t>
        </is>
      </c>
      <c r="C13" t="inlineStr">
        <is>
          <t>150x60x150 cm (WS)</t>
        </is>
      </c>
      <c r="D13" t="inlineStr">
        <is>
          <t>ขนาด+ประเภท</t>
        </is>
      </c>
      <c r="E13" t="inlineStr">
        <is>
          <t>150x60x150,WS</t>
        </is>
      </c>
      <c r="F13" t="inlineStr">
        <is>
          <t>200</t>
        </is>
      </c>
      <c r="G13" t="inlineStr">
        <is>
          <t>+</t>
        </is>
      </c>
      <c r="H13" t="inlineStr">
        <is>
          <t>1</t>
        </is>
      </c>
      <c r="I13" t="inlineStr">
        <is>
          <t>ขนาดใหญ่กว่า +200 บาท</t>
        </is>
      </c>
    </row>
    <row r="14">
      <c r="A14" t="inlineStr">
        <is>
          <t>PRINT-001-V1</t>
        </is>
      </c>
      <c r="B14" t="inlineStr">
        <is>
          <t>PRINT-001</t>
        </is>
      </c>
      <c r="C14" t="inlineStr">
        <is>
          <t>120x120 cm (โค้กเขียนชื่อร้านค้า)</t>
        </is>
      </c>
      <c r="D14" t="inlineStr">
        <is>
          <t>ขนาด</t>
        </is>
      </c>
      <c r="E14" t="inlineStr">
        <is>
          <t>120x120</t>
        </is>
      </c>
      <c r="F14" t="inlineStr">
        <is>
          <t>0</t>
        </is>
      </c>
      <c r="G14" t="inlineStr">
        <is>
          <t>+</t>
        </is>
      </c>
      <c r="H14" t="inlineStr">
        <is>
          <t>1</t>
        </is>
      </c>
      <c r="I14" t="inlineStr">
        <is>
          <t>ขนาดใหญ่สุด</t>
        </is>
      </c>
    </row>
    <row r="15">
      <c r="A15" t="inlineStr">
        <is>
          <t>PRINT-001-V2</t>
        </is>
      </c>
      <c r="B15" t="inlineStr">
        <is>
          <t>PRINT-001</t>
        </is>
      </c>
      <c r="C15" t="inlineStr">
        <is>
          <t>85x190 cm (ป้ายหน้าเคาน์เตอร์)</t>
        </is>
      </c>
      <c r="D15" t="inlineStr">
        <is>
          <t>ขนาด</t>
        </is>
      </c>
      <c r="E15" t="inlineStr">
        <is>
          <t>85x190</t>
        </is>
      </c>
      <c r="F15" t="inlineStr">
        <is>
          <t>-130</t>
        </is>
      </c>
      <c r="G15" t="inlineStr">
        <is>
          <t>+</t>
        </is>
      </c>
      <c r="H15" t="inlineStr">
        <is>
          <t>2</t>
        </is>
      </c>
      <c r="I15" t="inlineStr">
        <is>
          <t>ถูกกว่า 120x120</t>
        </is>
      </c>
    </row>
    <row r="16">
      <c r="A16" t="inlineStr">
        <is>
          <t>PRINT-001-V3</t>
        </is>
      </c>
      <c r="B16" t="inlineStr">
        <is>
          <t>PRINT-001</t>
        </is>
      </c>
      <c r="C16" t="inlineStr">
        <is>
          <t>70x150 cm (ป้ายหน้าเคาน์เตอร์)</t>
        </is>
      </c>
      <c r="D16" t="inlineStr">
        <is>
          <t>ขนาด</t>
        </is>
      </c>
      <c r="E16" t="inlineStr">
        <is>
          <t>70x150</t>
        </is>
      </c>
      <c r="F16" t="inlineStr">
        <is>
          <t>-230</t>
        </is>
      </c>
      <c r="G16" t="inlineStr">
        <is>
          <t>+</t>
        </is>
      </c>
      <c r="H16" t="inlineStr">
        <is>
          <t>3</t>
        </is>
      </c>
      <c r="I16" t="inlineStr">
        <is>
          <t>ขนาดเล็กสุด</t>
        </is>
      </c>
    </row>
    <row r="17">
      <c r="A17" t="inlineStr">
        <is>
          <t>PRINT-005-V1</t>
        </is>
      </c>
      <c r="B17" t="inlineStr">
        <is>
          <t>PRINT-005</t>
        </is>
      </c>
      <c r="C17" t="inlineStr">
        <is>
          <t>16x24 นิ้ว</t>
        </is>
      </c>
      <c r="D17" t="inlineStr">
        <is>
          <t>ขนาด</t>
        </is>
      </c>
      <c r="E17" t="inlineStr">
        <is>
          <t>16x24</t>
        </is>
      </c>
      <c r="F17" t="inlineStr">
        <is>
          <t>0</t>
        </is>
      </c>
      <c r="G17" t="inlineStr">
        <is>
          <t>+</t>
        </is>
      </c>
      <c r="H17" t="inlineStr">
        <is>
          <t>1</t>
        </is>
      </c>
      <c r="I17" t="inlineStr">
        <is>
          <t>ขนาดเล็ก</t>
        </is>
      </c>
    </row>
    <row r="18">
      <c r="A18" t="inlineStr">
        <is>
          <t>PRINT-005-V2</t>
        </is>
      </c>
      <c r="B18" t="inlineStr">
        <is>
          <t>PRINT-005</t>
        </is>
      </c>
      <c r="C18" t="inlineStr">
        <is>
          <t>24x32 นิ้ว</t>
        </is>
      </c>
      <c r="D18" t="inlineStr">
        <is>
          <t>ขนาด</t>
        </is>
      </c>
      <c r="E18" t="inlineStr">
        <is>
          <t>24x32</t>
        </is>
      </c>
      <c r="F18" t="inlineStr">
        <is>
          <t>15</t>
        </is>
      </c>
      <c r="G18" t="inlineStr">
        <is>
          <t>+</t>
        </is>
      </c>
      <c r="H18" t="inlineStr">
        <is>
          <t>1</t>
        </is>
      </c>
      <c r="I18" t="inlineStr">
        <is>
          <t>ขนาดใหญ่ +15 บาท</t>
        </is>
      </c>
    </row>
    <row r="19">
      <c r="A19" t="inlineStr">
        <is>
          <t>GARMT-001-V1</t>
        </is>
      </c>
      <c r="B19" t="inlineStr">
        <is>
          <t>GARMT-001</t>
        </is>
      </c>
      <c r="C19" t="inlineStr">
        <is>
          <t>สีขาว</t>
        </is>
      </c>
      <c r="D19" t="inlineStr">
        <is>
          <t>สี</t>
        </is>
      </c>
      <c r="E19" t="inlineStr">
        <is>
          <t>ขาว</t>
        </is>
      </c>
      <c r="F19" t="inlineStr">
        <is>
          <t>0</t>
        </is>
      </c>
      <c r="G19" t="inlineStr">
        <is>
          <t>+</t>
        </is>
      </c>
      <c r="H19" t="inlineStr">
        <is>
          <t>1</t>
        </is>
      </c>
      <c r="I19" t="inlineStr">
        <is>
          <t>ราคาฐาน</t>
        </is>
      </c>
    </row>
    <row r="20">
      <c r="A20" t="inlineStr">
        <is>
          <t>GARMT-001-V2</t>
        </is>
      </c>
      <c r="B20" t="inlineStr">
        <is>
          <t>GARMT-001</t>
        </is>
      </c>
      <c r="C20" t="inlineStr">
        <is>
          <t>สีอ่อน</t>
        </is>
      </c>
      <c r="D20" t="inlineStr">
        <is>
          <t>สี</t>
        </is>
      </c>
      <c r="E20" t="inlineStr">
        <is>
          <t>อ่อน</t>
        </is>
      </c>
      <c r="F20" t="inlineStr">
        <is>
          <t>5</t>
        </is>
      </c>
      <c r="G20" t="inlineStr">
        <is>
          <t>+</t>
        </is>
      </c>
      <c r="H20" t="inlineStr">
        <is>
          <t>2</t>
        </is>
      </c>
      <c r="I20" t="inlineStr">
        <is>
          <t>+5 บาท</t>
        </is>
      </c>
    </row>
    <row r="21">
      <c r="A21" t="inlineStr">
        <is>
          <t>GARMT-001-V3</t>
        </is>
      </c>
      <c r="B21" t="inlineStr">
        <is>
          <t>GARMT-001</t>
        </is>
      </c>
      <c r="C21" t="inlineStr">
        <is>
          <t>สีกลาง</t>
        </is>
      </c>
      <c r="D21" t="inlineStr">
        <is>
          <t>สี</t>
        </is>
      </c>
      <c r="E21" t="inlineStr">
        <is>
          <t>กลาง</t>
        </is>
      </c>
      <c r="F21" t="inlineStr">
        <is>
          <t>10</t>
        </is>
      </c>
      <c r="G21" t="inlineStr">
        <is>
          <t>+</t>
        </is>
      </c>
      <c r="H21" t="inlineStr">
        <is>
          <t>3</t>
        </is>
      </c>
      <c r="I21" t="inlineStr">
        <is>
          <t>+10 บาท</t>
        </is>
      </c>
    </row>
    <row r="22">
      <c r="A22" t="inlineStr">
        <is>
          <t>GARMT-001-V4</t>
        </is>
      </c>
      <c r="B22" t="inlineStr">
        <is>
          <t>GARMT-001</t>
        </is>
      </c>
      <c r="C22" t="inlineStr">
        <is>
          <t>สีเข้ม</t>
        </is>
      </c>
      <c r="D22" t="inlineStr">
        <is>
          <t>สี</t>
        </is>
      </c>
      <c r="E22" t="inlineStr">
        <is>
          <t>เข้ม</t>
        </is>
      </c>
      <c r="F22" t="inlineStr">
        <is>
          <t>20</t>
        </is>
      </c>
      <c r="G22" t="inlineStr">
        <is>
          <t>+</t>
        </is>
      </c>
      <c r="H22" t="inlineStr">
        <is>
          <t>4</t>
        </is>
      </c>
      <c r="I22" t="inlineStr">
        <is>
          <t>+20 บาท</t>
        </is>
      </c>
    </row>
    <row r="23">
      <c r="A23" t="inlineStr">
        <is>
          <t>GARMT-002-V1</t>
        </is>
      </c>
      <c r="B23" t="inlineStr">
        <is>
          <t>GARMT-002</t>
        </is>
      </c>
      <c r="C23" t="inlineStr">
        <is>
          <t>ผ้า TC สีขาว</t>
        </is>
      </c>
      <c r="D23" t="inlineStr">
        <is>
          <t>สี</t>
        </is>
      </c>
      <c r="E23" t="inlineStr">
        <is>
          <t>ขาว</t>
        </is>
      </c>
      <c r="F23" t="inlineStr">
        <is>
          <t>0</t>
        </is>
      </c>
      <c r="G23" t="inlineStr">
        <is>
          <t>+</t>
        </is>
      </c>
      <c r="H23" t="inlineStr">
        <is>
          <t>1</t>
        </is>
      </c>
      <c r="I23" t="inlineStr">
        <is>
          <t>ราคาฐาน</t>
        </is>
      </c>
    </row>
    <row r="24">
      <c r="A24" t="inlineStr">
        <is>
          <t>GARMT-002-V2</t>
        </is>
      </c>
      <c r="B24" t="inlineStr">
        <is>
          <t>GARMT-002</t>
        </is>
      </c>
      <c r="C24" t="inlineStr">
        <is>
          <t>ผ้า TC สีอ่อน</t>
        </is>
      </c>
      <c r="D24" t="inlineStr">
        <is>
          <t>สี</t>
        </is>
      </c>
      <c r="E24" t="inlineStr">
        <is>
          <t>อ่อน</t>
        </is>
      </c>
      <c r="F24" t="inlineStr">
        <is>
          <t>5</t>
        </is>
      </c>
      <c r="G24" t="inlineStr">
        <is>
          <t>+</t>
        </is>
      </c>
      <c r="H24" t="inlineStr">
        <is>
          <t>2</t>
        </is>
      </c>
      <c r="I24" t="inlineStr">
        <is>
          <t>+5 บาท</t>
        </is>
      </c>
    </row>
    <row r="25">
      <c r="A25" t="inlineStr">
        <is>
          <t>GARMT-002-V3</t>
        </is>
      </c>
      <c r="B25" t="inlineStr">
        <is>
          <t>GARMT-002</t>
        </is>
      </c>
      <c r="C25" t="inlineStr">
        <is>
          <t>ผ้า TC สีกลาง</t>
        </is>
      </c>
      <c r="D25" t="inlineStr">
        <is>
          <t>สี</t>
        </is>
      </c>
      <c r="E25" t="inlineStr">
        <is>
          <t>กลาง</t>
        </is>
      </c>
      <c r="F25" t="inlineStr">
        <is>
          <t>10</t>
        </is>
      </c>
      <c r="G25" t="inlineStr">
        <is>
          <t>+</t>
        </is>
      </c>
      <c r="H25" t="inlineStr">
        <is>
          <t>3</t>
        </is>
      </c>
      <c r="I25" t="inlineStr">
        <is>
          <t>+10 บาท</t>
        </is>
      </c>
    </row>
    <row r="26">
      <c r="A26" t="inlineStr">
        <is>
          <t>GARMT-002-V4</t>
        </is>
      </c>
      <c r="B26" t="inlineStr">
        <is>
          <t>GARMT-002</t>
        </is>
      </c>
      <c r="C26" t="inlineStr">
        <is>
          <t>ผ้า TC สีเข้ม</t>
        </is>
      </c>
      <c r="D26" t="inlineStr">
        <is>
          <t>สี</t>
        </is>
      </c>
      <c r="E26" t="inlineStr">
        <is>
          <t>เข้ม</t>
        </is>
      </c>
      <c r="F26" t="inlineStr">
        <is>
          <t>20</t>
        </is>
      </c>
      <c r="G26" t="inlineStr">
        <is>
          <t>+</t>
        </is>
      </c>
      <c r="H26" t="inlineStr">
        <is>
          <t>4</t>
        </is>
      </c>
      <c r="I26" t="inlineStr">
        <is>
          <t>+20 บาท</t>
        </is>
      </c>
    </row>
    <row r="27">
      <c r="A27" t="inlineStr">
        <is>
          <t>GARMT-004-V1</t>
        </is>
      </c>
      <c r="B27" t="inlineStr">
        <is>
          <t>GARMT-004</t>
        </is>
      </c>
      <c r="C27" t="inlineStr">
        <is>
          <t>1 สี</t>
        </is>
      </c>
      <c r="D27" t="inlineStr">
        <is>
          <t>จำนวนสี</t>
        </is>
      </c>
      <c r="E27" t="inlineStr">
        <is>
          <t>1</t>
        </is>
      </c>
      <c r="F27" t="inlineStr">
        <is>
          <t>0</t>
        </is>
      </c>
      <c r="G27" t="inlineStr">
        <is>
          <t>+</t>
        </is>
      </c>
      <c r="H27" t="inlineStr">
        <is>
          <t>1</t>
        </is>
      </c>
      <c r="I27" t="inlineStr"/>
    </row>
    <row r="28">
      <c r="A28" t="inlineStr">
        <is>
          <t>GARMT-004-V2</t>
        </is>
      </c>
      <c r="B28" t="inlineStr">
        <is>
          <t>GARMT-004</t>
        </is>
      </c>
      <c r="C28" t="inlineStr">
        <is>
          <t>2 สี</t>
        </is>
      </c>
      <c r="D28" t="inlineStr">
        <is>
          <t>จำนวนสี</t>
        </is>
      </c>
      <c r="E28" t="inlineStr">
        <is>
          <t>2</t>
        </is>
      </c>
      <c r="F28" t="inlineStr">
        <is>
          <t>5</t>
        </is>
      </c>
      <c r="G28" t="inlineStr">
        <is>
          <t>+</t>
        </is>
      </c>
      <c r="H28" t="inlineStr">
        <is>
          <t>2</t>
        </is>
      </c>
      <c r="I28" t="inlineStr">
        <is>
          <t>+5 บาทต่อสีเพิ่ม</t>
        </is>
      </c>
    </row>
    <row r="29">
      <c r="A29" t="inlineStr">
        <is>
          <t>GARMT-004-V3</t>
        </is>
      </c>
      <c r="B29" t="inlineStr">
        <is>
          <t>GARMT-004</t>
        </is>
      </c>
      <c r="C29" t="inlineStr">
        <is>
          <t>3 สี</t>
        </is>
      </c>
      <c r="D29" t="inlineStr">
        <is>
          <t>จำนวนสี</t>
        </is>
      </c>
      <c r="E29" t="inlineStr">
        <is>
          <t>3</t>
        </is>
      </c>
      <c r="F29" t="inlineStr">
        <is>
          <t>10</t>
        </is>
      </c>
      <c r="G29" t="inlineStr">
        <is>
          <t>+</t>
        </is>
      </c>
      <c r="H29" t="inlineStr">
        <is>
          <t>3</t>
        </is>
      </c>
      <c r="I29" t="inlineStr">
        <is>
          <t>+10 บาทจากราคาฐาน</t>
        </is>
      </c>
    </row>
    <row r="30">
      <c r="A30" t="inlineStr">
        <is>
          <t>GARMT-004-V4</t>
        </is>
      </c>
      <c r="B30" t="inlineStr">
        <is>
          <t>GARMT-004</t>
        </is>
      </c>
      <c r="C30" t="inlineStr">
        <is>
          <t>4 สี</t>
        </is>
      </c>
      <c r="D30" t="inlineStr">
        <is>
          <t>จำนวนสี</t>
        </is>
      </c>
      <c r="E30" t="inlineStr">
        <is>
          <t>4</t>
        </is>
      </c>
      <c r="F30" t="inlineStr">
        <is>
          <t>15</t>
        </is>
      </c>
      <c r="G30" t="inlineStr">
        <is>
          <t>+</t>
        </is>
      </c>
      <c r="H30" t="inlineStr">
        <is>
          <t>4</t>
        </is>
      </c>
      <c r="I30" t="inlineStr">
        <is>
          <t>+15 บาทจากราคาฐาน</t>
        </is>
      </c>
    </row>
    <row r="31">
      <c r="A31" t="inlineStr">
        <is>
          <t>PREM-004-V1</t>
        </is>
      </c>
      <c r="B31" t="inlineStr">
        <is>
          <t>PREM-004</t>
        </is>
      </c>
      <c r="C31" t="inlineStr">
        <is>
          <t>หนังชามัวร์</t>
        </is>
      </c>
      <c r="D31" t="inlineStr">
        <is>
          <t>วัสดุ</t>
        </is>
      </c>
      <c r="E31" t="inlineStr">
        <is>
          <t>หนังชามัวร์</t>
        </is>
      </c>
      <c r="F31" t="inlineStr">
        <is>
          <t>0</t>
        </is>
      </c>
      <c r="G31" t="inlineStr">
        <is>
          <t>+</t>
        </is>
      </c>
      <c r="H31" t="inlineStr">
        <is>
          <t>1</t>
        </is>
      </c>
      <c r="I31" t="inlineStr">
        <is>
          <t>ราคาฐาน</t>
        </is>
      </c>
    </row>
    <row r="32">
      <c r="A32" t="inlineStr">
        <is>
          <t>PREM-004-V2</t>
        </is>
      </c>
      <c r="B32" t="inlineStr">
        <is>
          <t>PREM-004</t>
        </is>
      </c>
      <c r="C32" t="inlineStr">
        <is>
          <t>วัสดุผ้า</t>
        </is>
      </c>
      <c r="D32" t="inlineStr">
        <is>
          <t>วัสดุ</t>
        </is>
      </c>
      <c r="E32" t="inlineStr">
        <is>
          <t>ผ้า</t>
        </is>
      </c>
      <c r="F32" t="inlineStr">
        <is>
          <t>-50</t>
        </is>
      </c>
      <c r="G32" t="inlineStr">
        <is>
          <t>+</t>
        </is>
      </c>
      <c r="H32" t="inlineStr">
        <is>
          <t>2</t>
        </is>
      </c>
      <c r="I32" t="inlineStr">
        <is>
          <t>ถูกกว่าหนัง 50 บาท</t>
        </is>
      </c>
    </row>
    <row r="33">
      <c r="A33" t="inlineStr">
        <is>
          <t>PREM-001-V1</t>
        </is>
      </c>
      <c r="B33" t="inlineStr">
        <is>
          <t>PREM-001</t>
        </is>
      </c>
      <c r="C33" t="inlineStr">
        <is>
          <t>6.5 ออนซ์</t>
        </is>
      </c>
      <c r="D33" t="inlineStr">
        <is>
          <t>ขนาด</t>
        </is>
      </c>
      <c r="E33" t="inlineStr">
        <is>
          <t>6.5oz</t>
        </is>
      </c>
      <c r="F33" t="inlineStr">
        <is>
          <t>0</t>
        </is>
      </c>
      <c r="G33" t="inlineStr">
        <is>
          <t>+</t>
        </is>
      </c>
      <c r="H33" t="inlineStr">
        <is>
          <t>1</t>
        </is>
      </c>
      <c r="I33" t="inlineStr">
        <is>
          <t>ขนาดเล็ก</t>
        </is>
      </c>
    </row>
    <row r="34">
      <c r="A34" t="inlineStr">
        <is>
          <t>PREM-001-V2</t>
        </is>
      </c>
      <c r="B34" t="inlineStr">
        <is>
          <t>PREM-001</t>
        </is>
      </c>
      <c r="C34" t="inlineStr">
        <is>
          <t>22 ออนซ์</t>
        </is>
      </c>
      <c r="D34" t="inlineStr">
        <is>
          <t>ขนาด</t>
        </is>
      </c>
      <c r="E34" t="inlineStr">
        <is>
          <t>22oz</t>
        </is>
      </c>
      <c r="F34" t="inlineStr">
        <is>
          <t>2.41</t>
        </is>
      </c>
      <c r="G34" t="inlineStr">
        <is>
          <t>+</t>
        </is>
      </c>
      <c r="H34" t="inlineStr">
        <is>
          <t>2</t>
        </is>
      </c>
      <c r="I34" t="inlineStr">
        <is>
          <t>ขนาดใหญ่ +2.41 บาท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0" customWidth="1" min="3" max="3"/>
    <col width="15" customWidth="1" min="4" max="4"/>
    <col width="25" customWidth="1" min="5" max="5"/>
    <col width="25" customWidth="1" min="6" max="6"/>
    <col width="30" customWidth="1" min="7" max="7"/>
  </cols>
  <sheetData>
    <row r="1">
      <c r="A1" s="4" t="inlineStr">
        <is>
          <t>Vendor Code</t>
        </is>
      </c>
      <c r="B1" s="4" t="inlineStr">
        <is>
          <t>Vendor Name</t>
        </is>
      </c>
      <c r="C1" s="4" t="inlineStr">
        <is>
          <t>Contact Person</t>
        </is>
      </c>
      <c r="D1" s="4" t="inlineStr">
        <is>
          <t>Phone</t>
        </is>
      </c>
      <c r="E1" s="4" t="inlineStr">
        <is>
          <t>Email</t>
        </is>
      </c>
      <c r="F1" s="4" t="inlineStr">
        <is>
          <t>Address</t>
        </is>
      </c>
      <c r="G1" s="4" t="inlineStr">
        <is>
          <t>Notes</t>
        </is>
      </c>
    </row>
    <row r="2">
      <c r="A2" t="inlineStr">
        <is>
          <t>VEN-A</t>
        </is>
      </c>
      <c r="B2" t="inlineStr">
        <is>
          <t>Vendor A</t>
        </is>
      </c>
      <c r="C2" t="inlineStr">
        <is>
          <t>นายเอ</t>
        </is>
      </c>
      <c r="D2" t="inlineStr">
        <is>
          <t>02-111-1111</t>
        </is>
      </c>
      <c r="E2" t="inlineStr">
        <is>
          <t>vendora@example.com</t>
        </is>
      </c>
      <c r="F2" t="inlineStr">
        <is>
          <t>กรุงเทพฯ</t>
        </is>
      </c>
      <c r="G2" t="inlineStr">
        <is>
          <t>Vendor หลัก POSM</t>
        </is>
      </c>
    </row>
    <row r="3">
      <c r="A3" t="inlineStr">
        <is>
          <t>VEN-B</t>
        </is>
      </c>
      <c r="B3" t="inlineStr">
        <is>
          <t>Vendor B</t>
        </is>
      </c>
      <c r="C3" t="inlineStr">
        <is>
          <t>นางสาวบี</t>
        </is>
      </c>
      <c r="D3" t="inlineStr">
        <is>
          <t>02-222-2222</t>
        </is>
      </c>
      <c r="E3" t="inlineStr">
        <is>
          <t>vendorb@example.com</t>
        </is>
      </c>
      <c r="F3" t="inlineStr">
        <is>
          <t>กรุงเทพฯ</t>
        </is>
      </c>
      <c r="G3" t="inlineStr"/>
    </row>
    <row r="4">
      <c r="A4" t="inlineStr">
        <is>
          <t>VEN-C</t>
        </is>
      </c>
      <c r="B4" t="inlineStr">
        <is>
          <t>Vendor C</t>
        </is>
      </c>
      <c r="C4" t="inlineStr">
        <is>
          <t>นายซี</t>
        </is>
      </c>
      <c r="D4" t="inlineStr">
        <is>
          <t>02-333-3333</t>
        </is>
      </c>
      <c r="E4" t="inlineStr">
        <is>
          <t>vendorc@example.com</t>
        </is>
      </c>
      <c r="F4" t="inlineStr">
        <is>
          <t>สมุทรปราการ</t>
        </is>
      </c>
      <c r="G4" t="inlineStr">
        <is>
          <t>Vendor หลัก Printing</t>
        </is>
      </c>
    </row>
    <row r="5">
      <c r="A5" t="inlineStr">
        <is>
          <t>VEN-D</t>
        </is>
      </c>
      <c r="B5" t="inlineStr">
        <is>
          <t>Vendor D</t>
        </is>
      </c>
      <c r="C5" t="inlineStr">
        <is>
          <t>นางสาวดี</t>
        </is>
      </c>
      <c r="D5" t="inlineStr">
        <is>
          <t>02-444-4444</t>
        </is>
      </c>
      <c r="E5" t="inlineStr">
        <is>
          <t>vendord@example.com</t>
        </is>
      </c>
      <c r="F5" t="inlineStr">
        <is>
          <t>นนทบุรี</t>
        </is>
      </c>
      <c r="G5" t="inlineStr"/>
    </row>
    <row r="6">
      <c r="A6" t="inlineStr">
        <is>
          <t>VEN-E</t>
        </is>
      </c>
      <c r="B6" t="inlineStr">
        <is>
          <t>Vendor E</t>
        </is>
      </c>
      <c r="C6" t="inlineStr">
        <is>
          <t>นายอี</t>
        </is>
      </c>
      <c r="D6" t="inlineStr">
        <is>
          <t>02-555-5555</t>
        </is>
      </c>
      <c r="E6" t="inlineStr">
        <is>
          <t>vendore@example.com</t>
        </is>
      </c>
      <c r="F6" t="inlineStr">
        <is>
          <t>กรุงเทพฯ</t>
        </is>
      </c>
      <c r="G6" t="inlineStr"/>
    </row>
    <row r="7">
      <c r="A7" t="inlineStr">
        <is>
          <t>VEN-F</t>
        </is>
      </c>
      <c r="B7" t="inlineStr">
        <is>
          <t>Vendor F</t>
        </is>
      </c>
      <c r="C7" t="inlineStr">
        <is>
          <t>นางเอฟ</t>
        </is>
      </c>
      <c r="D7" t="inlineStr">
        <is>
          <t>02-666-6666</t>
        </is>
      </c>
      <c r="E7" t="inlineStr">
        <is>
          <t>vendorf@example.com</t>
        </is>
      </c>
      <c r="F7" t="inlineStr">
        <is>
          <t>ปทุมธานี</t>
        </is>
      </c>
      <c r="G7" t="inlineStr">
        <is>
          <t>Vendor หลัก PP Board</t>
        </is>
      </c>
    </row>
    <row r="8">
      <c r="A8" t="inlineStr">
        <is>
          <t>VEN-G</t>
        </is>
      </c>
      <c r="B8" t="inlineStr">
        <is>
          <t>Vendor G</t>
        </is>
      </c>
      <c r="C8" t="inlineStr">
        <is>
          <t>นายจี</t>
        </is>
      </c>
      <c r="D8" t="inlineStr">
        <is>
          <t>02-777-7777</t>
        </is>
      </c>
      <c r="E8" t="inlineStr">
        <is>
          <t>vendorg@example.com</t>
        </is>
      </c>
      <c r="F8" t="inlineStr">
        <is>
          <t>กรุงเทพฯ</t>
        </is>
      </c>
      <c r="G8" t="inlineStr"/>
    </row>
    <row r="9">
      <c r="A9" t="inlineStr">
        <is>
          <t>VEN-H</t>
        </is>
      </c>
      <c r="B9" t="inlineStr">
        <is>
          <t>Vendor H</t>
        </is>
      </c>
      <c r="C9" t="inlineStr">
        <is>
          <t>นางสาวเอช</t>
        </is>
      </c>
      <c r="D9" t="inlineStr">
        <is>
          <t>02-888-8888</t>
        </is>
      </c>
      <c r="E9" t="inlineStr">
        <is>
          <t>vendorh@example.com</t>
        </is>
      </c>
      <c r="F9" t="inlineStr">
        <is>
          <t>สมุทรปราการ</t>
        </is>
      </c>
      <c r="G9" t="inlineStr"/>
    </row>
    <row r="10">
      <c r="A10" t="inlineStr">
        <is>
          <t>VEN-I</t>
        </is>
      </c>
      <c r="B10" t="inlineStr">
        <is>
          <t>Vendor I</t>
        </is>
      </c>
      <c r="C10" t="inlineStr">
        <is>
          <t>นายไอ</t>
        </is>
      </c>
      <c r="D10" t="inlineStr">
        <is>
          <t>02-999-9999</t>
        </is>
      </c>
      <c r="E10" t="inlineStr">
        <is>
          <t>vendori@example.com</t>
        </is>
      </c>
      <c r="F10" t="inlineStr">
        <is>
          <t>กรุงเทพฯ</t>
        </is>
      </c>
      <c r="G10" t="inlineStr">
        <is>
          <t>Vendor หลัก Garment</t>
        </is>
      </c>
    </row>
    <row r="11">
      <c r="A11" t="inlineStr">
        <is>
          <t>VEN-J</t>
        </is>
      </c>
      <c r="B11" t="inlineStr">
        <is>
          <t>Vendor J</t>
        </is>
      </c>
      <c r="C11" t="inlineStr">
        <is>
          <t>นางเจ</t>
        </is>
      </c>
      <c r="D11" t="inlineStr">
        <is>
          <t>02-101-0101</t>
        </is>
      </c>
      <c r="E11" t="inlineStr">
        <is>
          <t>vendorj@example.com</t>
        </is>
      </c>
      <c r="F11" t="inlineStr">
        <is>
          <t>กรุงเทพฯ</t>
        </is>
      </c>
      <c r="G11" t="inlineStr"/>
    </row>
    <row r="12">
      <c r="A12" t="inlineStr">
        <is>
          <t>VEN-K</t>
        </is>
      </c>
      <c r="B12" t="inlineStr">
        <is>
          <t>Vendor K</t>
        </is>
      </c>
      <c r="C12" t="inlineStr">
        <is>
          <t>นายเค</t>
        </is>
      </c>
      <c r="D12" t="inlineStr">
        <is>
          <t>02-102-0202</t>
        </is>
      </c>
      <c r="E12" t="inlineStr">
        <is>
          <t>vendork@example.com</t>
        </is>
      </c>
      <c r="F12" t="inlineStr">
        <is>
          <t>นนทบุรี</t>
        </is>
      </c>
      <c r="G12" t="inlineStr">
        <is>
          <t>สกรีน</t>
        </is>
      </c>
    </row>
    <row r="13">
      <c r="A13" t="inlineStr">
        <is>
          <t>VEN-L</t>
        </is>
      </c>
      <c r="B13" t="inlineStr">
        <is>
          <t>Vendor L</t>
        </is>
      </c>
      <c r="C13" t="inlineStr">
        <is>
          <t>นางสาวแอล</t>
        </is>
      </c>
      <c r="D13" t="inlineStr">
        <is>
          <t>02-103-0303</t>
        </is>
      </c>
      <c r="E13" t="inlineStr">
        <is>
          <t>vendorl@example.com</t>
        </is>
      </c>
      <c r="F13" t="inlineStr">
        <is>
          <t>กรุงเทพฯ</t>
        </is>
      </c>
      <c r="G13" t="inlineStr"/>
    </row>
    <row r="14">
      <c r="A14" t="inlineStr">
        <is>
          <t>VEN-M</t>
        </is>
      </c>
      <c r="B14" t="inlineStr">
        <is>
          <t>Vendor M</t>
        </is>
      </c>
      <c r="C14" t="inlineStr">
        <is>
          <t>นายเอ็ม</t>
        </is>
      </c>
      <c r="D14" t="inlineStr">
        <is>
          <t>02-104-0404</t>
        </is>
      </c>
      <c r="E14" t="inlineStr">
        <is>
          <t>vendorm@example.com</t>
        </is>
      </c>
      <c r="F14" t="inlineStr">
        <is>
          <t>สมุทรปราการ</t>
        </is>
      </c>
      <c r="G14" t="inlineStr">
        <is>
          <t>Premium Items</t>
        </is>
      </c>
    </row>
    <row r="15">
      <c r="A15" t="inlineStr">
        <is>
          <t>VEN-N</t>
        </is>
      </c>
      <c r="B15" t="inlineStr">
        <is>
          <t>Vendor N</t>
        </is>
      </c>
      <c r="C15" t="inlineStr">
        <is>
          <t>นางเอ็น</t>
        </is>
      </c>
      <c r="D15" t="inlineStr">
        <is>
          <t>02-105-0505</t>
        </is>
      </c>
      <c r="E15" t="inlineStr">
        <is>
          <t>vendorn@example.com</t>
        </is>
      </c>
      <c r="F15" t="inlineStr">
        <is>
          <t>กรุงเทพฯ</t>
        </is>
      </c>
      <c r="G15" t="inlineStr">
        <is>
          <t>Mega Rack</t>
        </is>
      </c>
    </row>
    <row r="16">
      <c r="A16" t="inlineStr">
        <is>
          <t>VEN-O</t>
        </is>
      </c>
      <c r="B16" t="inlineStr">
        <is>
          <t>Vendor O</t>
        </is>
      </c>
      <c r="C16" t="inlineStr">
        <is>
          <t>นายโอ</t>
        </is>
      </c>
      <c r="D16" t="inlineStr">
        <is>
          <t>02-106-0606</t>
        </is>
      </c>
      <c r="E16" t="inlineStr">
        <is>
          <t>vendoro@example.com</t>
        </is>
      </c>
      <c r="F16" t="inlineStr">
        <is>
          <t>กรุงเทพฯ</t>
        </is>
      </c>
      <c r="G16" t="inlineStr">
        <is>
          <t>ราคาถูก แต่คุณภาพต่ำ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  <col width="12" customWidth="1" min="10" max="10"/>
    <col width="25" customWidth="1" min="11" max="11"/>
    <col width="40" customWidth="1" min="12" max="12"/>
    <col width="25" customWidth="1" min="13" max="13"/>
    <col width="30" customWidth="1" min="14" max="14"/>
  </cols>
  <sheetData>
    <row r="1">
      <c r="A1" s="5" t="inlineStr">
        <is>
          <t>Product Code</t>
        </is>
      </c>
      <c r="B1" s="5" t="inlineStr">
        <is>
          <t>Variant Code</t>
        </is>
      </c>
      <c r="C1" s="5" t="inlineStr">
        <is>
          <t>Vendor Code</t>
        </is>
      </c>
      <c r="D1" s="5" t="inlineStr">
        <is>
          <t>Price</t>
        </is>
      </c>
      <c r="E1" s="5" t="inlineStr">
        <is>
          <t>Unit</t>
        </is>
      </c>
      <c r="F1" s="5" t="inlineStr">
        <is>
          <t>Qty</t>
        </is>
      </c>
      <c r="G1" s="5" t="inlineStr">
        <is>
          <t>Qty Range</t>
        </is>
      </c>
      <c r="H1" s="5" t="inlineStr">
        <is>
          <t>Year</t>
        </is>
      </c>
      <c r="I1" s="5" t="inlineStr">
        <is>
          <t>Is Winner</t>
        </is>
      </c>
      <c r="J1" s="5" t="inlineStr">
        <is>
          <t>Meets Spec</t>
        </is>
      </c>
      <c r="K1" s="5" t="inlineStr">
        <is>
          <t>Product Name</t>
        </is>
      </c>
      <c r="L1" s="5" t="inlineStr">
        <is>
          <t>Product Description</t>
        </is>
      </c>
      <c r="M1" s="5" t="inlineStr">
        <is>
          <t>Vendor Name</t>
        </is>
      </c>
      <c r="N1" s="5" t="inlineStr">
        <is>
          <t>Notes</t>
        </is>
      </c>
    </row>
    <row r="2">
      <c r="A2" t="inlineStr">
        <is>
          <t>POSM-001</t>
        </is>
      </c>
      <c r="B2" t="inlineStr">
        <is>
          <t>POSM-001-V1</t>
        </is>
      </c>
      <c r="C2" t="inlineStr">
        <is>
          <t>VEN-A</t>
        </is>
      </c>
      <c r="D2" t="n">
        <v>523</v>
      </c>
      <c r="E2" t="inlineStr">
        <is>
          <t>piece</t>
        </is>
      </c>
      <c r="F2" t="n">
        <v>1</v>
      </c>
      <c r="G2" t="inlineStr"/>
      <c r="H2" t="n">
        <v>2026</v>
      </c>
      <c r="I2" t="inlineStr">
        <is>
          <t>TRUE</t>
        </is>
      </c>
      <c r="J2" t="inlineStr">
        <is>
          <t>TRUE</t>
        </is>
      </c>
      <c r="K2">
        <f>VLOOKUP(A2, Products!$A:$C, 3, FALSE)</f>
        <v/>
      </c>
      <c r="L2">
        <f>VLOOKUP(A2, Products!$A:$D, 4, FALSE)</f>
        <v/>
      </c>
      <c r="M2">
        <f>VLOOKUP(C2, Vendors!$A:$B, 2, FALSE)</f>
        <v/>
      </c>
    </row>
    <row r="3">
      <c r="A3" t="inlineStr">
        <is>
          <t>POSM-001</t>
        </is>
      </c>
      <c r="B3" t="inlineStr">
        <is>
          <t>POSM-001-V1</t>
        </is>
      </c>
      <c r="C3" t="inlineStr">
        <is>
          <t>VEN-B</t>
        </is>
      </c>
      <c r="D3" t="n">
        <v>565</v>
      </c>
      <c r="E3" t="inlineStr">
        <is>
          <t>piece</t>
        </is>
      </c>
      <c r="F3" t="n">
        <v>1</v>
      </c>
      <c r="G3" t="inlineStr"/>
      <c r="H3" t="n">
        <v>2026</v>
      </c>
      <c r="I3" t="inlineStr">
        <is>
          <t>FALSE</t>
        </is>
      </c>
      <c r="J3" t="inlineStr">
        <is>
          <t>TRUE</t>
        </is>
      </c>
      <c r="K3">
        <f>VLOOKUP(A3, Products!$A:$C, 3, FALSE)</f>
        <v/>
      </c>
      <c r="L3">
        <f>VLOOKUP(A3, Products!$A:$D, 4, FALSE)</f>
        <v/>
      </c>
      <c r="M3">
        <f>VLOOKUP(C3, Vendors!$A:$B, 2, FALSE)</f>
        <v/>
      </c>
    </row>
    <row r="4">
      <c r="A4" t="inlineStr">
        <is>
          <t>POSM-001</t>
        </is>
      </c>
      <c r="B4" t="inlineStr">
        <is>
          <t>POSM-001-V1</t>
        </is>
      </c>
      <c r="C4" t="inlineStr">
        <is>
          <t>VEN-C</t>
        </is>
      </c>
      <c r="D4" t="n">
        <v>480</v>
      </c>
      <c r="E4" t="inlineStr">
        <is>
          <t>piece</t>
        </is>
      </c>
      <c r="F4" t="n">
        <v>1</v>
      </c>
      <c r="G4" t="inlineStr"/>
      <c r="H4" t="n">
        <v>2026</v>
      </c>
      <c r="I4" t="inlineStr">
        <is>
          <t>FALSE</t>
        </is>
      </c>
      <c r="J4" t="inlineStr">
        <is>
          <t>FALSE</t>
        </is>
      </c>
      <c r="K4">
        <f>VLOOKUP(A4, Products!$A:$C, 3, FALSE)</f>
        <v/>
      </c>
      <c r="L4">
        <f>VLOOKUP(A4, Products!$A:$D, 4, FALSE)</f>
        <v/>
      </c>
      <c r="M4">
        <f>VLOOKUP(C4, Vendors!$A:$B, 2, FALSE)</f>
        <v/>
      </c>
    </row>
    <row r="5">
      <c r="A5" t="inlineStr">
        <is>
          <t>POSM-001</t>
        </is>
      </c>
      <c r="B5" t="inlineStr">
        <is>
          <t>POSM-001-V2</t>
        </is>
      </c>
      <c r="C5" t="inlineStr">
        <is>
          <t>VEN-A</t>
        </is>
      </c>
      <c r="D5" t="n">
        <v>528</v>
      </c>
      <c r="E5" t="inlineStr">
        <is>
          <t>piece</t>
        </is>
      </c>
      <c r="F5" t="n">
        <v>1</v>
      </c>
      <c r="G5" t="inlineStr"/>
      <c r="H5" t="n">
        <v>2026</v>
      </c>
      <c r="I5" t="inlineStr">
        <is>
          <t>TRUE</t>
        </is>
      </c>
      <c r="J5" t="inlineStr">
        <is>
          <t>TRUE</t>
        </is>
      </c>
      <c r="K5">
        <f>VLOOKUP(A5, Products!$A:$C, 3, FALSE)</f>
        <v/>
      </c>
      <c r="L5">
        <f>VLOOKUP(A5, Products!$A:$D, 4, FALSE)</f>
        <v/>
      </c>
      <c r="M5">
        <f>VLOOKUP(C5, Vendors!$A:$B, 2, FALSE)</f>
        <v/>
      </c>
    </row>
    <row r="6">
      <c r="A6" t="inlineStr">
        <is>
          <t>POSM-001</t>
        </is>
      </c>
      <c r="B6" t="inlineStr">
        <is>
          <t>POSM-001-V3</t>
        </is>
      </c>
      <c r="C6" t="inlineStr">
        <is>
          <t>VEN-A</t>
        </is>
      </c>
      <c r="D6" t="n">
        <v>523</v>
      </c>
      <c r="E6" t="inlineStr">
        <is>
          <t>piece</t>
        </is>
      </c>
      <c r="F6" t="n">
        <v>1</v>
      </c>
      <c r="G6" t="inlineStr"/>
      <c r="H6" t="n">
        <v>2026</v>
      </c>
      <c r="I6" t="inlineStr">
        <is>
          <t>TRUE</t>
        </is>
      </c>
      <c r="J6" t="inlineStr">
        <is>
          <t>TRUE</t>
        </is>
      </c>
      <c r="K6">
        <f>VLOOKUP(A6, Products!$A:$C, 3, FALSE)</f>
        <v/>
      </c>
      <c r="L6">
        <f>VLOOKUP(A6, Products!$A:$D, 4, FALSE)</f>
        <v/>
      </c>
      <c r="M6">
        <f>VLOOKUP(C6, Vendors!$A:$B, 2, FALSE)</f>
        <v/>
      </c>
    </row>
    <row r="7">
      <c r="A7" t="inlineStr">
        <is>
          <t>POSM-002</t>
        </is>
      </c>
      <c r="B7" t="inlineStr"/>
      <c r="C7" t="inlineStr">
        <is>
          <t>VEN-C</t>
        </is>
      </c>
      <c r="D7" t="n">
        <v>28.5</v>
      </c>
      <c r="E7" t="inlineStr">
        <is>
          <t>piece</t>
        </is>
      </c>
      <c r="F7" t="n">
        <v>1</v>
      </c>
      <c r="G7" t="inlineStr"/>
      <c r="H7" t="n">
        <v>2026</v>
      </c>
      <c r="I7" t="inlineStr">
        <is>
          <t>TRUE</t>
        </is>
      </c>
      <c r="J7" t="inlineStr">
        <is>
          <t>TRUE</t>
        </is>
      </c>
      <c r="K7">
        <f>VLOOKUP(A7, Products!$A:$C, 3, FALSE)</f>
        <v/>
      </c>
      <c r="L7">
        <f>VLOOKUP(A7, Products!$A:$D, 4, FALSE)</f>
        <v/>
      </c>
      <c r="M7">
        <f>VLOOKUP(C7, Vendors!$A:$B, 2, FALSE)</f>
        <v/>
      </c>
    </row>
    <row r="8">
      <c r="A8" t="inlineStr">
        <is>
          <t>POSM-002</t>
        </is>
      </c>
      <c r="B8" t="inlineStr"/>
      <c r="C8" t="inlineStr">
        <is>
          <t>VEN-D</t>
        </is>
      </c>
      <c r="D8" t="n">
        <v>30</v>
      </c>
      <c r="E8" t="inlineStr">
        <is>
          <t>piece</t>
        </is>
      </c>
      <c r="F8" t="n">
        <v>1</v>
      </c>
      <c r="G8" t="inlineStr"/>
      <c r="H8" t="n">
        <v>2026</v>
      </c>
      <c r="I8" t="inlineStr">
        <is>
          <t>FALSE</t>
        </is>
      </c>
      <c r="J8" t="inlineStr">
        <is>
          <t>TRUE</t>
        </is>
      </c>
      <c r="K8">
        <f>VLOOKUP(A8, Products!$A:$C, 3, FALSE)</f>
        <v/>
      </c>
      <c r="L8">
        <f>VLOOKUP(A8, Products!$A:$D, 4, FALSE)</f>
        <v/>
      </c>
      <c r="M8">
        <f>VLOOKUP(C8, Vendors!$A:$B, 2, FALSE)</f>
        <v/>
      </c>
    </row>
    <row r="9">
      <c r="A9" t="inlineStr">
        <is>
          <t>POSM-002</t>
        </is>
      </c>
      <c r="B9" t="inlineStr"/>
      <c r="C9" t="inlineStr">
        <is>
          <t>VEN-E</t>
        </is>
      </c>
      <c r="D9" t="n">
        <v>25</v>
      </c>
      <c r="E9" t="inlineStr">
        <is>
          <t>piece</t>
        </is>
      </c>
      <c r="F9" t="n">
        <v>1</v>
      </c>
      <c r="G9" t="inlineStr"/>
      <c r="H9" t="n">
        <v>2026</v>
      </c>
      <c r="I9" t="inlineStr">
        <is>
          <t>FALSE</t>
        </is>
      </c>
      <c r="J9" t="inlineStr">
        <is>
          <t>FALSE</t>
        </is>
      </c>
      <c r="K9">
        <f>VLOOKUP(A9, Products!$A:$C, 3, FALSE)</f>
        <v/>
      </c>
      <c r="L9">
        <f>VLOOKUP(A9, Products!$A:$D, 4, FALSE)</f>
        <v/>
      </c>
      <c r="M9">
        <f>VLOOKUP(C9, Vendors!$A:$B, 2, FALSE)</f>
        <v/>
      </c>
    </row>
    <row r="10">
      <c r="A10" t="inlineStr">
        <is>
          <t>POSM-003</t>
        </is>
      </c>
      <c r="B10" t="inlineStr">
        <is>
          <t>POSM-003-V1</t>
        </is>
      </c>
      <c r="C10" t="inlineStr">
        <is>
          <t>VEN-E</t>
        </is>
      </c>
      <c r="D10" t="n">
        <v>65</v>
      </c>
      <c r="E10" t="inlineStr">
        <is>
          <t>piece</t>
        </is>
      </c>
      <c r="F10" t="n">
        <v>1</v>
      </c>
      <c r="G10" t="inlineStr"/>
      <c r="H10" t="n">
        <v>2026</v>
      </c>
      <c r="I10" t="inlineStr">
        <is>
          <t>TRUE</t>
        </is>
      </c>
      <c r="J10" t="inlineStr">
        <is>
          <t>TRUE</t>
        </is>
      </c>
      <c r="K10">
        <f>VLOOKUP(A10, Products!$A:$C, 3, FALSE)</f>
        <v/>
      </c>
      <c r="L10">
        <f>VLOOKUP(A10, Products!$A:$D, 4, FALSE)</f>
        <v/>
      </c>
      <c r="M10">
        <f>VLOOKUP(C10, Vendors!$A:$B, 2, FALSE)</f>
        <v/>
      </c>
    </row>
    <row r="11">
      <c r="A11" t="inlineStr">
        <is>
          <t>POSM-003</t>
        </is>
      </c>
      <c r="B11" t="inlineStr">
        <is>
          <t>POSM-003-V2</t>
        </is>
      </c>
      <c r="C11" t="inlineStr">
        <is>
          <t>VEN-E</t>
        </is>
      </c>
      <c r="D11" t="n">
        <v>55</v>
      </c>
      <c r="E11" t="inlineStr">
        <is>
          <t>piece</t>
        </is>
      </c>
      <c r="F11" t="n">
        <v>1</v>
      </c>
      <c r="G11" t="inlineStr"/>
      <c r="H11" t="n">
        <v>2026</v>
      </c>
      <c r="I11" t="inlineStr">
        <is>
          <t>TRUE</t>
        </is>
      </c>
      <c r="J11" t="inlineStr">
        <is>
          <t>TRUE</t>
        </is>
      </c>
      <c r="K11">
        <f>VLOOKUP(A11, Products!$A:$C, 3, FALSE)</f>
        <v/>
      </c>
      <c r="L11">
        <f>VLOOKUP(A11, Products!$A:$D, 4, FALSE)</f>
        <v/>
      </c>
      <c r="M11">
        <f>VLOOKUP(C11, Vendors!$A:$B, 2, FALSE)</f>
        <v/>
      </c>
    </row>
    <row r="12">
      <c r="A12" t="inlineStr">
        <is>
          <t>POSM-006</t>
        </is>
      </c>
      <c r="B12" t="inlineStr">
        <is>
          <t>POSM-006-V1</t>
        </is>
      </c>
      <c r="C12" t="inlineStr">
        <is>
          <t>VEN-N</t>
        </is>
      </c>
      <c r="D12" t="n">
        <v>3500</v>
      </c>
      <c r="E12" t="inlineStr">
        <is>
          <t>piece</t>
        </is>
      </c>
      <c r="F12" t="n">
        <v>1</v>
      </c>
      <c r="G12" t="inlineStr"/>
      <c r="H12" t="n">
        <v>2026</v>
      </c>
      <c r="I12" t="inlineStr">
        <is>
          <t>TRUE</t>
        </is>
      </c>
      <c r="J12" t="inlineStr">
        <is>
          <t>TRUE</t>
        </is>
      </c>
      <c r="K12">
        <f>VLOOKUP(A12, Products!$A:$C, 3, FALSE)</f>
        <v/>
      </c>
      <c r="L12">
        <f>VLOOKUP(A12, Products!$A:$D, 4, FALSE)</f>
        <v/>
      </c>
      <c r="M12">
        <f>VLOOKUP(C12, Vendors!$A:$B, 2, FALSE)</f>
        <v/>
      </c>
    </row>
    <row r="13">
      <c r="A13" t="inlineStr">
        <is>
          <t>POSM-006</t>
        </is>
      </c>
      <c r="B13" t="inlineStr">
        <is>
          <t>POSM-006-V2</t>
        </is>
      </c>
      <c r="C13" t="inlineStr">
        <is>
          <t>VEN-N</t>
        </is>
      </c>
      <c r="D13" t="n">
        <v>3700</v>
      </c>
      <c r="E13" t="inlineStr">
        <is>
          <t>piece</t>
        </is>
      </c>
      <c r="F13" t="n">
        <v>1</v>
      </c>
      <c r="G13" t="inlineStr"/>
      <c r="H13" t="n">
        <v>2026</v>
      </c>
      <c r="I13" t="inlineStr">
        <is>
          <t>TRUE</t>
        </is>
      </c>
      <c r="J13" t="inlineStr">
        <is>
          <t>TRUE</t>
        </is>
      </c>
      <c r="K13">
        <f>VLOOKUP(A13, Products!$A:$C, 3, FALSE)</f>
        <v/>
      </c>
      <c r="L13">
        <f>VLOOKUP(A13, Products!$A:$D, 4, FALSE)</f>
        <v/>
      </c>
      <c r="M13">
        <f>VLOOKUP(C13, Vendors!$A:$B, 2, FALSE)</f>
        <v/>
      </c>
    </row>
    <row r="14">
      <c r="A14" t="inlineStr">
        <is>
          <t>PRINT-001</t>
        </is>
      </c>
      <c r="B14" t="inlineStr">
        <is>
          <t>PRINT-001-V1</t>
        </is>
      </c>
      <c r="C14" t="inlineStr">
        <is>
          <t>VEN-F</t>
        </is>
      </c>
      <c r="D14" t="n">
        <v>580</v>
      </c>
      <c r="E14" t="inlineStr">
        <is>
          <t>piece</t>
        </is>
      </c>
      <c r="F14" t="n">
        <v>1</v>
      </c>
      <c r="G14" t="inlineStr"/>
      <c r="H14" t="n">
        <v>2026</v>
      </c>
      <c r="I14" t="inlineStr">
        <is>
          <t>TRUE</t>
        </is>
      </c>
      <c r="J14" t="inlineStr">
        <is>
          <t>TRUE</t>
        </is>
      </c>
      <c r="K14">
        <f>VLOOKUP(A14, Products!$A:$C, 3, FALSE)</f>
        <v/>
      </c>
      <c r="L14">
        <f>VLOOKUP(A14, Products!$A:$D, 4, FALSE)</f>
        <v/>
      </c>
      <c r="M14">
        <f>VLOOKUP(C14, Vendors!$A:$B, 2, FALSE)</f>
        <v/>
      </c>
    </row>
    <row r="15">
      <c r="A15" t="inlineStr">
        <is>
          <t>PRINT-001</t>
        </is>
      </c>
      <c r="B15" t="inlineStr">
        <is>
          <t>PRINT-001-V2</t>
        </is>
      </c>
      <c r="C15" t="inlineStr">
        <is>
          <t>VEN-F</t>
        </is>
      </c>
      <c r="D15" t="n">
        <v>450</v>
      </c>
      <c r="E15" t="inlineStr">
        <is>
          <t>piece</t>
        </is>
      </c>
      <c r="F15" t="n">
        <v>1</v>
      </c>
      <c r="G15" t="inlineStr"/>
      <c r="H15" t="n">
        <v>2026</v>
      </c>
      <c r="I15" t="inlineStr">
        <is>
          <t>TRUE</t>
        </is>
      </c>
      <c r="J15" t="inlineStr">
        <is>
          <t>TRUE</t>
        </is>
      </c>
      <c r="K15">
        <f>VLOOKUP(A15, Products!$A:$C, 3, FALSE)</f>
        <v/>
      </c>
      <c r="L15">
        <f>VLOOKUP(A15, Products!$A:$D, 4, FALSE)</f>
        <v/>
      </c>
      <c r="M15">
        <f>VLOOKUP(C15, Vendors!$A:$B, 2, FALSE)</f>
        <v/>
      </c>
    </row>
    <row r="16">
      <c r="A16" t="inlineStr">
        <is>
          <t>PRINT-001</t>
        </is>
      </c>
      <c r="B16" t="inlineStr">
        <is>
          <t>PRINT-001-V3</t>
        </is>
      </c>
      <c r="C16" t="inlineStr">
        <is>
          <t>VEN-F</t>
        </is>
      </c>
      <c r="D16" t="n">
        <v>350</v>
      </c>
      <c r="E16" t="inlineStr">
        <is>
          <t>piece</t>
        </is>
      </c>
      <c r="F16" t="n">
        <v>1</v>
      </c>
      <c r="G16" t="inlineStr"/>
      <c r="H16" t="n">
        <v>2026</v>
      </c>
      <c r="I16" t="inlineStr">
        <is>
          <t>TRUE</t>
        </is>
      </c>
      <c r="J16" t="inlineStr">
        <is>
          <t>TRUE</t>
        </is>
      </c>
      <c r="K16">
        <f>VLOOKUP(A16, Products!$A:$C, 3, FALSE)</f>
        <v/>
      </c>
      <c r="L16">
        <f>VLOOKUP(A16, Products!$A:$D, 4, FALSE)</f>
        <v/>
      </c>
      <c r="M16">
        <f>VLOOKUP(C16, Vendors!$A:$B, 2, FALSE)</f>
        <v/>
      </c>
    </row>
    <row r="17">
      <c r="A17" t="inlineStr">
        <is>
          <t>PRINT-002</t>
        </is>
      </c>
      <c r="B17" t="inlineStr"/>
      <c r="C17" t="inlineStr">
        <is>
          <t>VEN-G</t>
        </is>
      </c>
      <c r="D17" t="n">
        <v>350</v>
      </c>
      <c r="E17" t="inlineStr">
        <is>
          <t>piece</t>
        </is>
      </c>
      <c r="F17" t="n">
        <v>1</v>
      </c>
      <c r="G17" t="inlineStr"/>
      <c r="H17" t="n">
        <v>2026</v>
      </c>
      <c r="I17" t="inlineStr">
        <is>
          <t>TRUE</t>
        </is>
      </c>
      <c r="J17" t="inlineStr">
        <is>
          <t>TRUE</t>
        </is>
      </c>
      <c r="K17">
        <f>VLOOKUP(A17, Products!$A:$C, 3, FALSE)</f>
        <v/>
      </c>
      <c r="L17">
        <f>VLOOKUP(A17, Products!$A:$D, 4, FALSE)</f>
        <v/>
      </c>
      <c r="M17">
        <f>VLOOKUP(C17, Vendors!$A:$B, 2, FALSE)</f>
        <v/>
      </c>
    </row>
    <row r="18">
      <c r="A18" t="inlineStr">
        <is>
          <t>PRINT-005</t>
        </is>
      </c>
      <c r="B18" t="inlineStr">
        <is>
          <t>PRINT-005-V1</t>
        </is>
      </c>
      <c r="C18" t="inlineStr">
        <is>
          <t>VEN-H</t>
        </is>
      </c>
      <c r="D18" t="n">
        <v>45</v>
      </c>
      <c r="E18" t="inlineStr">
        <is>
          <t>piece</t>
        </is>
      </c>
      <c r="F18" t="n">
        <v>1</v>
      </c>
      <c r="G18" t="inlineStr"/>
      <c r="H18" t="n">
        <v>2026</v>
      </c>
      <c r="I18" t="inlineStr">
        <is>
          <t>TRUE</t>
        </is>
      </c>
      <c r="J18" t="inlineStr">
        <is>
          <t>TRUE</t>
        </is>
      </c>
      <c r="K18">
        <f>VLOOKUP(A18, Products!$A:$C, 3, FALSE)</f>
        <v/>
      </c>
      <c r="L18">
        <f>VLOOKUP(A18, Products!$A:$D, 4, FALSE)</f>
        <v/>
      </c>
      <c r="M18">
        <f>VLOOKUP(C18, Vendors!$A:$B, 2, FALSE)</f>
        <v/>
      </c>
    </row>
    <row r="19">
      <c r="A19" t="inlineStr">
        <is>
          <t>PRINT-005</t>
        </is>
      </c>
      <c r="B19" t="inlineStr">
        <is>
          <t>PRINT-005-V2</t>
        </is>
      </c>
      <c r="C19" t="inlineStr">
        <is>
          <t>VEN-H</t>
        </is>
      </c>
      <c r="D19" t="n">
        <v>60</v>
      </c>
      <c r="E19" t="inlineStr">
        <is>
          <t>piece</t>
        </is>
      </c>
      <c r="F19" t="n">
        <v>1</v>
      </c>
      <c r="G19" t="inlineStr"/>
      <c r="H19" t="n">
        <v>2026</v>
      </c>
      <c r="I19" t="inlineStr">
        <is>
          <t>TRUE</t>
        </is>
      </c>
      <c r="J19" t="inlineStr">
        <is>
          <t>TRUE</t>
        </is>
      </c>
      <c r="K19">
        <f>VLOOKUP(A19, Products!$A:$C, 3, FALSE)</f>
        <v/>
      </c>
      <c r="L19">
        <f>VLOOKUP(A19, Products!$A:$D, 4, FALSE)</f>
        <v/>
      </c>
      <c r="M19">
        <f>VLOOKUP(C19, Vendors!$A:$B, 2, FALSE)</f>
        <v/>
      </c>
    </row>
    <row r="20">
      <c r="A20" t="inlineStr">
        <is>
          <t>GARMT-001</t>
        </is>
      </c>
      <c r="B20" t="inlineStr">
        <is>
          <t>GARMT-001-V1</t>
        </is>
      </c>
      <c r="C20" t="inlineStr">
        <is>
          <t>VEN-I</t>
        </is>
      </c>
      <c r="D20" t="n">
        <v>90</v>
      </c>
      <c r="E20" t="inlineStr">
        <is>
          <t>piece</t>
        </is>
      </c>
      <c r="F20" t="n">
        <v>1</v>
      </c>
      <c r="G20" t="inlineStr"/>
      <c r="H20" t="n">
        <v>2026</v>
      </c>
      <c r="I20" t="inlineStr">
        <is>
          <t>TRUE</t>
        </is>
      </c>
      <c r="J20" t="inlineStr">
        <is>
          <t>TRUE</t>
        </is>
      </c>
      <c r="K20">
        <f>VLOOKUP(A20, Products!$A:$C, 3, FALSE)</f>
        <v/>
      </c>
      <c r="L20">
        <f>VLOOKUP(A20, Products!$A:$D, 4, FALSE)</f>
        <v/>
      </c>
      <c r="M20">
        <f>VLOOKUP(C20, Vendors!$A:$B, 2, FALSE)</f>
        <v/>
      </c>
    </row>
    <row r="21">
      <c r="A21" t="inlineStr">
        <is>
          <t>GARMT-001</t>
        </is>
      </c>
      <c r="B21" t="inlineStr">
        <is>
          <t>GARMT-001-V2</t>
        </is>
      </c>
      <c r="C21" t="inlineStr">
        <is>
          <t>VEN-I</t>
        </is>
      </c>
      <c r="D21" t="n">
        <v>95</v>
      </c>
      <c r="E21" t="inlineStr">
        <is>
          <t>piece</t>
        </is>
      </c>
      <c r="F21" t="n">
        <v>1</v>
      </c>
      <c r="G21" t="inlineStr"/>
      <c r="H21" t="n">
        <v>2026</v>
      </c>
      <c r="I21" t="inlineStr">
        <is>
          <t>TRUE</t>
        </is>
      </c>
      <c r="J21" t="inlineStr">
        <is>
          <t>TRUE</t>
        </is>
      </c>
      <c r="K21">
        <f>VLOOKUP(A21, Products!$A:$C, 3, FALSE)</f>
        <v/>
      </c>
      <c r="L21">
        <f>VLOOKUP(A21, Products!$A:$D, 4, FALSE)</f>
        <v/>
      </c>
      <c r="M21">
        <f>VLOOKUP(C21, Vendors!$A:$B, 2, FALSE)</f>
        <v/>
      </c>
    </row>
    <row r="22">
      <c r="A22" t="inlineStr">
        <is>
          <t>GARMT-001</t>
        </is>
      </c>
      <c r="B22" t="inlineStr">
        <is>
          <t>GARMT-001-V3</t>
        </is>
      </c>
      <c r="C22" t="inlineStr">
        <is>
          <t>VEN-I</t>
        </is>
      </c>
      <c r="D22" t="n">
        <v>100</v>
      </c>
      <c r="E22" t="inlineStr">
        <is>
          <t>piece</t>
        </is>
      </c>
      <c r="F22" t="n">
        <v>1</v>
      </c>
      <c r="G22" t="inlineStr"/>
      <c r="H22" t="n">
        <v>2026</v>
      </c>
      <c r="I22" t="inlineStr">
        <is>
          <t>TRUE</t>
        </is>
      </c>
      <c r="J22" t="inlineStr">
        <is>
          <t>TRUE</t>
        </is>
      </c>
      <c r="K22">
        <f>VLOOKUP(A22, Products!$A:$C, 3, FALSE)</f>
        <v/>
      </c>
      <c r="L22">
        <f>VLOOKUP(A22, Products!$A:$D, 4, FALSE)</f>
        <v/>
      </c>
      <c r="M22">
        <f>VLOOKUP(C22, Vendors!$A:$B, 2, FALSE)</f>
        <v/>
      </c>
    </row>
    <row r="23">
      <c r="A23" t="inlineStr">
        <is>
          <t>GARMT-001</t>
        </is>
      </c>
      <c r="B23" t="inlineStr">
        <is>
          <t>GARMT-001-V4</t>
        </is>
      </c>
      <c r="C23" t="inlineStr">
        <is>
          <t>VEN-I</t>
        </is>
      </c>
      <c r="D23" t="n">
        <v>110</v>
      </c>
      <c r="E23" t="inlineStr">
        <is>
          <t>piece</t>
        </is>
      </c>
      <c r="F23" t="n">
        <v>1</v>
      </c>
      <c r="G23" t="inlineStr"/>
      <c r="H23" t="n">
        <v>2026</v>
      </c>
      <c r="I23" t="inlineStr">
        <is>
          <t>TRUE</t>
        </is>
      </c>
      <c r="J23" t="inlineStr">
        <is>
          <t>TRUE</t>
        </is>
      </c>
      <c r="K23">
        <f>VLOOKUP(A23, Products!$A:$C, 3, FALSE)</f>
        <v/>
      </c>
      <c r="L23">
        <f>VLOOKUP(A23, Products!$A:$D, 4, FALSE)</f>
        <v/>
      </c>
      <c r="M23">
        <f>VLOOKUP(C23, Vendors!$A:$B, 2, FALSE)</f>
        <v/>
      </c>
    </row>
    <row r="24">
      <c r="A24" t="inlineStr">
        <is>
          <t>GARMT-001</t>
        </is>
      </c>
      <c r="B24" t="inlineStr">
        <is>
          <t>GARMT-001-V1</t>
        </is>
      </c>
      <c r="C24" t="inlineStr">
        <is>
          <t>VEN-O</t>
        </is>
      </c>
      <c r="D24" t="n">
        <v>75</v>
      </c>
      <c r="E24" t="inlineStr">
        <is>
          <t>piece</t>
        </is>
      </c>
      <c r="F24" t="n">
        <v>1</v>
      </c>
      <c r="G24" t="inlineStr"/>
      <c r="H24" t="n">
        <v>2026</v>
      </c>
      <c r="I24" t="inlineStr">
        <is>
          <t>FALSE</t>
        </is>
      </c>
      <c r="J24" t="inlineStr">
        <is>
          <t>FALSE</t>
        </is>
      </c>
      <c r="K24">
        <f>VLOOKUP(A24, Products!$A:$C, 3, FALSE)</f>
        <v/>
      </c>
      <c r="L24">
        <f>VLOOKUP(A24, Products!$A:$D, 4, FALSE)</f>
        <v/>
      </c>
      <c r="M24">
        <f>VLOOKUP(C24, Vendors!$A:$B, 2, FALSE)</f>
        <v/>
      </c>
    </row>
    <row r="25">
      <c r="A25" t="inlineStr">
        <is>
          <t>GARMT-002</t>
        </is>
      </c>
      <c r="B25" t="inlineStr">
        <is>
          <t>GARMT-002-V1</t>
        </is>
      </c>
      <c r="C25" t="inlineStr">
        <is>
          <t>VEN-J</t>
        </is>
      </c>
      <c r="D25" t="n">
        <v>120</v>
      </c>
      <c r="E25" t="inlineStr">
        <is>
          <t>piece</t>
        </is>
      </c>
      <c r="F25" t="n">
        <v>1</v>
      </c>
      <c r="G25" t="inlineStr"/>
      <c r="H25" t="n">
        <v>2026</v>
      </c>
      <c r="I25" t="inlineStr">
        <is>
          <t>TRUE</t>
        </is>
      </c>
      <c r="J25" t="inlineStr">
        <is>
          <t>TRUE</t>
        </is>
      </c>
      <c r="K25">
        <f>VLOOKUP(A25, Products!$A:$C, 3, FALSE)</f>
        <v/>
      </c>
      <c r="L25">
        <f>VLOOKUP(A25, Products!$A:$D, 4, FALSE)</f>
        <v/>
      </c>
      <c r="M25">
        <f>VLOOKUP(C25, Vendors!$A:$B, 2, FALSE)</f>
        <v/>
      </c>
    </row>
    <row r="26">
      <c r="A26" t="inlineStr">
        <is>
          <t>GARMT-002</t>
        </is>
      </c>
      <c r="B26" t="inlineStr">
        <is>
          <t>GARMT-002-V3</t>
        </is>
      </c>
      <c r="C26" t="inlineStr">
        <is>
          <t>VEN-J</t>
        </is>
      </c>
      <c r="D26" t="n">
        <v>130</v>
      </c>
      <c r="E26" t="inlineStr">
        <is>
          <t>piece</t>
        </is>
      </c>
      <c r="F26" t="n">
        <v>1</v>
      </c>
      <c r="G26" t="inlineStr"/>
      <c r="H26" t="n">
        <v>2026</v>
      </c>
      <c r="I26" t="inlineStr">
        <is>
          <t>TRUE</t>
        </is>
      </c>
      <c r="J26" t="inlineStr">
        <is>
          <t>TRUE</t>
        </is>
      </c>
      <c r="K26">
        <f>VLOOKUP(A26, Products!$A:$C, 3, FALSE)</f>
        <v/>
      </c>
      <c r="L26">
        <f>VLOOKUP(A26, Products!$A:$D, 4, FALSE)</f>
        <v/>
      </c>
      <c r="M26">
        <f>VLOOKUP(C26, Vendors!$A:$B, 2, FALSE)</f>
        <v/>
      </c>
    </row>
    <row r="27">
      <c r="A27" t="inlineStr">
        <is>
          <t>GARMT-004</t>
        </is>
      </c>
      <c r="B27" t="inlineStr">
        <is>
          <t>GARMT-004-V1</t>
        </is>
      </c>
      <c r="C27" t="inlineStr">
        <is>
          <t>VEN-K</t>
        </is>
      </c>
      <c r="D27" t="n">
        <v>25</v>
      </c>
      <c r="E27" t="inlineStr">
        <is>
          <t>piece</t>
        </is>
      </c>
      <c r="F27" t="n">
        <v>1</v>
      </c>
      <c r="G27" t="inlineStr"/>
      <c r="H27" t="n">
        <v>2026</v>
      </c>
      <c r="I27" t="inlineStr">
        <is>
          <t>TRUE</t>
        </is>
      </c>
      <c r="J27" t="inlineStr">
        <is>
          <t>TRUE</t>
        </is>
      </c>
      <c r="K27">
        <f>VLOOKUP(A27, Products!$A:$C, 3, FALSE)</f>
        <v/>
      </c>
      <c r="L27">
        <f>VLOOKUP(A27, Products!$A:$D, 4, FALSE)</f>
        <v/>
      </c>
      <c r="M27">
        <f>VLOOKUP(C27, Vendors!$A:$B, 2, FALSE)</f>
        <v/>
      </c>
    </row>
    <row r="28">
      <c r="A28" t="inlineStr">
        <is>
          <t>GARMT-004</t>
        </is>
      </c>
      <c r="B28" t="inlineStr">
        <is>
          <t>GARMT-004-V2</t>
        </is>
      </c>
      <c r="C28" t="inlineStr">
        <is>
          <t>VEN-K</t>
        </is>
      </c>
      <c r="D28" t="n">
        <v>30</v>
      </c>
      <c r="E28" t="inlineStr">
        <is>
          <t>piece</t>
        </is>
      </c>
      <c r="F28" t="n">
        <v>1</v>
      </c>
      <c r="G28" t="inlineStr"/>
      <c r="H28" t="n">
        <v>2026</v>
      </c>
      <c r="I28" t="inlineStr">
        <is>
          <t>TRUE</t>
        </is>
      </c>
      <c r="J28" t="inlineStr">
        <is>
          <t>TRUE</t>
        </is>
      </c>
      <c r="K28">
        <f>VLOOKUP(A28, Products!$A:$C, 3, FALSE)</f>
        <v/>
      </c>
      <c r="L28">
        <f>VLOOKUP(A28, Products!$A:$D, 4, FALSE)</f>
        <v/>
      </c>
      <c r="M28">
        <f>VLOOKUP(C28, Vendors!$A:$B, 2, FALSE)</f>
        <v/>
      </c>
    </row>
    <row r="29">
      <c r="A29" t="inlineStr">
        <is>
          <t>GARMT-004</t>
        </is>
      </c>
      <c r="B29" t="inlineStr">
        <is>
          <t>GARMT-004-V4</t>
        </is>
      </c>
      <c r="C29" t="inlineStr">
        <is>
          <t>VEN-K</t>
        </is>
      </c>
      <c r="D29" t="n">
        <v>40</v>
      </c>
      <c r="E29" t="inlineStr">
        <is>
          <t>piece</t>
        </is>
      </c>
      <c r="F29" t="n">
        <v>1</v>
      </c>
      <c r="G29" t="inlineStr"/>
      <c r="H29" t="n">
        <v>2026</v>
      </c>
      <c r="I29" t="inlineStr">
        <is>
          <t>TRUE</t>
        </is>
      </c>
      <c r="J29" t="inlineStr">
        <is>
          <t>TRUE</t>
        </is>
      </c>
      <c r="K29">
        <f>VLOOKUP(A29, Products!$A:$C, 3, FALSE)</f>
        <v/>
      </c>
      <c r="L29">
        <f>VLOOKUP(A29, Products!$A:$D, 4, FALSE)</f>
        <v/>
      </c>
      <c r="M29">
        <f>VLOOKUP(C29, Vendors!$A:$B, 2, FALSE)</f>
        <v/>
      </c>
    </row>
    <row r="30">
      <c r="A30" t="inlineStr">
        <is>
          <t>PREM-001</t>
        </is>
      </c>
      <c r="B30" t="inlineStr">
        <is>
          <t>PREM-001-V1</t>
        </is>
      </c>
      <c r="C30" t="inlineStr">
        <is>
          <t>VEN-L</t>
        </is>
      </c>
      <c r="D30" t="n">
        <v>1.53</v>
      </c>
      <c r="E30" t="inlineStr">
        <is>
          <t>piece</t>
        </is>
      </c>
      <c r="F30" t="n">
        <v>1</v>
      </c>
      <c r="G30" t="inlineStr"/>
      <c r="H30" t="n">
        <v>2026</v>
      </c>
      <c r="I30" t="inlineStr">
        <is>
          <t>TRUE</t>
        </is>
      </c>
      <c r="J30" t="inlineStr">
        <is>
          <t>TRUE</t>
        </is>
      </c>
      <c r="K30">
        <f>VLOOKUP(A30, Products!$A:$C, 3, FALSE)</f>
        <v/>
      </c>
      <c r="L30">
        <f>VLOOKUP(A30, Products!$A:$D, 4, FALSE)</f>
        <v/>
      </c>
      <c r="M30">
        <f>VLOOKUP(C30, Vendors!$A:$B, 2, FALSE)</f>
        <v/>
      </c>
    </row>
    <row r="31">
      <c r="A31" t="inlineStr">
        <is>
          <t>PREM-001</t>
        </is>
      </c>
      <c r="B31" t="inlineStr">
        <is>
          <t>PREM-001-V2</t>
        </is>
      </c>
      <c r="C31" t="inlineStr">
        <is>
          <t>VEN-L</t>
        </is>
      </c>
      <c r="D31" t="n">
        <v>3.94</v>
      </c>
      <c r="E31" t="inlineStr">
        <is>
          <t>piece</t>
        </is>
      </c>
      <c r="F31" t="n">
        <v>1</v>
      </c>
      <c r="G31" t="inlineStr"/>
      <c r="H31" t="n">
        <v>2026</v>
      </c>
      <c r="I31" t="inlineStr">
        <is>
          <t>TRUE</t>
        </is>
      </c>
      <c r="J31" t="inlineStr">
        <is>
          <t>TRUE</t>
        </is>
      </c>
      <c r="K31">
        <f>VLOOKUP(A31, Products!$A:$C, 3, FALSE)</f>
        <v/>
      </c>
      <c r="L31">
        <f>VLOOKUP(A31, Products!$A:$D, 4, FALSE)</f>
        <v/>
      </c>
      <c r="M31">
        <f>VLOOKUP(C31, Vendors!$A:$B, 2, FALSE)</f>
        <v/>
      </c>
    </row>
    <row r="32">
      <c r="A32" t="inlineStr">
        <is>
          <t>PREM-004</t>
        </is>
      </c>
      <c r="B32" t="inlineStr">
        <is>
          <t>PREM-004-V1</t>
        </is>
      </c>
      <c r="C32" t="inlineStr">
        <is>
          <t>VEN-M</t>
        </is>
      </c>
      <c r="D32" t="n">
        <v>850</v>
      </c>
      <c r="E32" t="inlineStr">
        <is>
          <t>piece</t>
        </is>
      </c>
      <c r="F32" t="n">
        <v>1</v>
      </c>
      <c r="G32" t="inlineStr"/>
      <c r="H32" t="n">
        <v>2026</v>
      </c>
      <c r="I32" t="inlineStr">
        <is>
          <t>TRUE</t>
        </is>
      </c>
      <c r="J32" t="inlineStr">
        <is>
          <t>TRUE</t>
        </is>
      </c>
      <c r="K32">
        <f>VLOOKUP(A32, Products!$A:$C, 3, FALSE)</f>
        <v/>
      </c>
      <c r="L32">
        <f>VLOOKUP(A32, Products!$A:$D, 4, FALSE)</f>
        <v/>
      </c>
      <c r="M32">
        <f>VLOOKUP(C32, Vendors!$A:$B, 2, FALSE)</f>
        <v/>
      </c>
    </row>
    <row r="33">
      <c r="A33" t="inlineStr">
        <is>
          <t>PREM-004</t>
        </is>
      </c>
      <c r="B33" t="inlineStr">
        <is>
          <t>PREM-004-V2</t>
        </is>
      </c>
      <c r="C33" t="inlineStr">
        <is>
          <t>VEN-M</t>
        </is>
      </c>
      <c r="D33" t="n">
        <v>800</v>
      </c>
      <c r="E33" t="inlineStr">
        <is>
          <t>piece</t>
        </is>
      </c>
      <c r="F33" t="n">
        <v>1</v>
      </c>
      <c r="G33" t="inlineStr"/>
      <c r="H33" t="n">
        <v>2026</v>
      </c>
      <c r="I33" t="inlineStr">
        <is>
          <t>TRUE</t>
        </is>
      </c>
      <c r="J33" t="inlineStr">
        <is>
          <t>TRUE</t>
        </is>
      </c>
      <c r="K33">
        <f>VLOOKUP(A33, Products!$A:$C, 3, FALSE)</f>
        <v/>
      </c>
      <c r="L33">
        <f>VLOOKUP(A33, Products!$A:$D, 4, FALSE)</f>
        <v/>
      </c>
      <c r="M33">
        <f>VLOOKUP(C33, Vendors!$A:$B,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2026-07-31T12:03:15Z</dcterms:created>
  <dcterms:modified xmlns:dcterms="http://purl.org/dc/terms/" xmlns:xsi="http://www.w3.org/2001/XMLSchema-instance" xsi:type="dcterms:W3CDTF">2026-07-31T12:03:15Z</dcterms:modified>
</cp:coreProperties>
</file>