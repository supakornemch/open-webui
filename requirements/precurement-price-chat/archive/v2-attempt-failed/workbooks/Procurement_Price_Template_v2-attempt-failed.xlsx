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supakorn.emch/Workspace/Haadthip/EnterpriseChat/requirements/precurement-price-chat/"/>
    </mc:Choice>
  </mc:AlternateContent>
  <xr:revisionPtr revIDLastSave="0" documentId="13_ncr:1_{DD5B2551-DF26-9E49-8E27-3F7B25CA8555}" xr6:coauthVersionLast="47" xr6:coauthVersionMax="47" xr10:uidLastSave="{00000000-0000-0000-0000-000000000000}"/>
  <bookViews>
    <workbookView xWindow="4500" yWindow="3140" windowWidth="29400" windowHeight="18460" xr2:uid="{00000000-000D-0000-FFFF-FFFF00000000}"/>
  </bookViews>
  <sheets>
    <sheet name="Products" sheetId="2" r:id="rId1"/>
    <sheet name="Variants" sheetId="3" r:id="rId2"/>
    <sheet name="Vendors" sheetId="4" r:id="rId3"/>
    <sheet name="Vendor_Prices" sheetId="5" r:id="rId4"/>
    <sheet name="PivotValues" sheetId="6" r:id="rId5"/>
  </sheet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5" l="1"/>
  <c r="G9" i="5"/>
  <c r="G2" i="5"/>
  <c r="G3" i="5"/>
  <c r="G4" i="5"/>
  <c r="G5" i="5"/>
  <c r="G6" i="5"/>
  <c r="G7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2" i="3" a="1"/>
  <c r="G2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D35" i="5"/>
  <c r="F35" i="5"/>
  <c r="D34" i="5"/>
  <c r="F34" i="5"/>
  <c r="D33" i="5"/>
  <c r="F33" i="5"/>
  <c r="D32" i="5"/>
  <c r="F32" i="5"/>
  <c r="D31" i="5"/>
  <c r="F31" i="5"/>
  <c r="D30" i="5"/>
  <c r="F30" i="5"/>
  <c r="D29" i="5"/>
  <c r="F29" i="5"/>
  <c r="D28" i="5"/>
  <c r="F28" i="5"/>
  <c r="D27" i="5"/>
  <c r="F27" i="5"/>
  <c r="D26" i="5"/>
  <c r="F26" i="5"/>
  <c r="D25" i="5"/>
  <c r="F25" i="5"/>
  <c r="D24" i="5"/>
  <c r="F24" i="5"/>
  <c r="D23" i="5"/>
  <c r="F23" i="5"/>
  <c r="D22" i="5"/>
  <c r="F22" i="5"/>
  <c r="D21" i="5"/>
  <c r="F21" i="5"/>
  <c r="D20" i="5"/>
  <c r="F20" i="5"/>
  <c r="D19" i="5"/>
  <c r="F19" i="5"/>
  <c r="D18" i="5"/>
  <c r="F18" i="5"/>
  <c r="D17" i="5"/>
  <c r="F17" i="5"/>
  <c r="D16" i="5"/>
  <c r="F16" i="5"/>
  <c r="D15" i="5"/>
  <c r="F15" i="5"/>
  <c r="D14" i="5"/>
  <c r="F14" i="5"/>
  <c r="D13" i="5"/>
  <c r="F13" i="5"/>
  <c r="D12" i="5"/>
  <c r="F12" i="5"/>
  <c r="D11" i="5"/>
  <c r="F11" i="5"/>
  <c r="D10" i="5"/>
  <c r="F10" i="5"/>
  <c r="D9" i="5"/>
  <c r="F9" i="5"/>
  <c r="D8" i="5"/>
  <c r="F8" i="5"/>
  <c r="D7" i="5"/>
  <c r="F7" i="5"/>
  <c r="D6" i="5"/>
  <c r="F6" i="5"/>
  <c r="D5" i="5"/>
  <c r="F5" i="5"/>
  <c r="D4" i="5"/>
  <c r="F4" i="5"/>
  <c r="D3" i="5"/>
  <c r="F3" i="5"/>
  <c r="D2" i="5"/>
  <c r="F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<sst xmlns="http://schemas.openxmlformats.org/spreadsheetml/2006/main" count="478" uniqueCount="223">
  <si>
    <t>Product Code</t>
  </si>
  <si>
    <t>Category</t>
  </si>
  <si>
    <t>Product Name</t>
  </si>
  <si>
    <t>Pricing Model</t>
  </si>
  <si>
    <t>Related Products Code</t>
  </si>
  <si>
    <t>Example</t>
  </si>
  <si>
    <t>POSM-001</t>
  </si>
  <si>
    <t>POSM(MKT)</t>
  </si>
  <si>
    <t>ร่มโค้ก</t>
  </si>
  <si>
    <t>ต่อชิ้น</t>
  </si>
  <si>
    <t>POSM-002</t>
  </si>
  <si>
    <t>กล่องทิชชู-โค้ก</t>
  </si>
  <si>
    <t>POSM-003</t>
  </si>
  <si>
    <t>ผ้ากันเปื้อนโคคา-โคล่า</t>
  </si>
  <si>
    <t>POSM-004</t>
  </si>
  <si>
    <t>ถังใส่น้ำแข็ง-โค้ก</t>
  </si>
  <si>
    <t>POSM-005</t>
  </si>
  <si>
    <t>กล่องใส่ช้อน/ตะเกียบ</t>
  </si>
  <si>
    <t>POSM-006</t>
  </si>
  <si>
    <t>ธงปีกนก</t>
  </si>
  <si>
    <t>POSM-007</t>
  </si>
  <si>
    <t>ฐานน้ำ</t>
  </si>
  <si>
    <t>Printing(MKT)</t>
  </si>
  <si>
    <t>Mega Rack</t>
  </si>
  <si>
    <t>PRINT-001</t>
  </si>
  <si>
    <t>PP Board</t>
  </si>
  <si>
    <t>PRINT-002</t>
  </si>
  <si>
    <t>ป้ายรายการอาหารโค้ก</t>
  </si>
  <si>
    <t>PRINT-003</t>
  </si>
  <si>
    <t>แบนเนอร์โค้ก</t>
  </si>
  <si>
    <t>PRINT-004</t>
  </si>
  <si>
    <t>ผ้าใบกันสาด-โค้ก</t>
  </si>
  <si>
    <t>PRINT-005</t>
  </si>
  <si>
    <t>แผ่นริจิ-โค้ก</t>
  </si>
  <si>
    <t>GARMT-001</t>
  </si>
  <si>
    <t>Garment</t>
  </si>
  <si>
    <t>เสื้อยืด</t>
  </si>
  <si>
    <t>GARMT-002</t>
  </si>
  <si>
    <t>เสื้อโปโล TC</t>
  </si>
  <si>
    <t>GARMT-003</t>
  </si>
  <si>
    <t>เสื้อโปโล ผ้าไมโคร</t>
  </si>
  <si>
    <t>GARMT-004</t>
  </si>
  <si>
    <t>สกรีน</t>
  </si>
  <si>
    <t>PREM-001</t>
  </si>
  <si>
    <t>Premium</t>
  </si>
  <si>
    <t>แก้วกระดาษ</t>
  </si>
  <si>
    <t>PREM-003</t>
  </si>
  <si>
    <t>ร่มเสาข้าง</t>
  </si>
  <si>
    <t>PREM-004</t>
  </si>
  <si>
    <t>Bean Bag</t>
  </si>
  <si>
    <t>PRINTR-001</t>
  </si>
  <si>
    <t>Printing-Rate</t>
  </si>
  <si>
    <t>ป้ายไวนิล  แบบปล่อยชาย</t>
  </si>
  <si>
    <t>ต่อ ตรม.</t>
  </si>
  <si>
    <t>1m*3m=3m</t>
  </si>
  <si>
    <t>PRINTR-002</t>
  </si>
  <si>
    <t>ป้ายไวนิลหลังดำ  แบบปล่อยชาย</t>
  </si>
  <si>
    <t>Variant Code</t>
  </si>
  <si>
    <t>Description</t>
  </si>
  <si>
    <t>Notes</t>
  </si>
  <si>
    <t>POSM-001-V1</t>
  </si>
  <si>
    <t>36 นิ้ว โครงเหล็ก สีตาย (ไม่เกิน 4 สี)</t>
  </si>
  <si>
    <t>POSM-001-V2</t>
  </si>
  <si>
    <t>36 นิ้ว โครงเหล็ก ไล่ระดับสี (ไม่เกิน 8 เฉด)</t>
  </si>
  <si>
    <t>POSM-001-V3</t>
  </si>
  <si>
    <t>36 นิ้ว โครงไฟเบอร์ สีตาย (ไม่เกิน 4 สี)</t>
  </si>
  <si>
    <t>POSM-001-V4</t>
  </si>
  <si>
    <t>36 นิ้ว โครงไฟเบอร์ ไล่ระดับสี (ไม่เกิน 8 เฉด)</t>
  </si>
  <si>
    <t>POSM-001-V5</t>
  </si>
  <si>
    <t>40 นิ้ว โครงเหล็ก สีตาย (ไม่เกิน 4 สี)</t>
  </si>
  <si>
    <t>POSM-001-V6</t>
  </si>
  <si>
    <t>40 นิ้ว โครงเหล็ก ไล่ระดับสี (ไม่เกิน 8 เฉด)</t>
  </si>
  <si>
    <t>POSM-001-V7</t>
  </si>
  <si>
    <t>40 นิ้ว โครงไฟเบอร์ สีตาย (ไม่เกิน 4 สี)</t>
  </si>
  <si>
    <t>POSM-001-V8</t>
  </si>
  <si>
    <t>40 นิ้ว โครงไฟเบอร์ ไล่ระดับสี (ไม่เกิน 8 เฉด)</t>
  </si>
  <si>
    <t>POSM-003-V1</t>
  </si>
  <si>
    <t>เอี้ยม (เต็มตัว) ไขว้หลัง</t>
  </si>
  <si>
    <t>POSM-003-V2</t>
  </si>
  <si>
    <t>ครึ่งตัว</t>
  </si>
  <si>
    <t>POSM-006-V1</t>
  </si>
  <si>
    <t>120x40x150 cm (TT-DSD)</t>
  </si>
  <si>
    <t>POSM-006-V2</t>
  </si>
  <si>
    <t>150x60x150 cm (WS)</t>
  </si>
  <si>
    <t>PRINT-001-V1</t>
  </si>
  <si>
    <t>120x120 cm (โค้กเขียนชื่อร้านค้า)</t>
  </si>
  <si>
    <t>PRINT-001-V2</t>
  </si>
  <si>
    <t>85x190 cm (ป้ายหน้าเคาน์เตอร์)</t>
  </si>
  <si>
    <t>PRINT-001-V3</t>
  </si>
  <si>
    <t>70x150 cm (ป้ายหน้าเคาน์เตอร์)</t>
  </si>
  <si>
    <t>PRINT-005-V1</t>
  </si>
  <si>
    <t>16x24 นิ้ว</t>
  </si>
  <si>
    <t>PRINT-005-V2</t>
  </si>
  <si>
    <t>24x32 นิ้ว</t>
  </si>
  <si>
    <t>GARMT-001-V1</t>
  </si>
  <si>
    <t>สีขาว</t>
  </si>
  <si>
    <t>GARMT-001-V2</t>
  </si>
  <si>
    <t>สีอ่อน</t>
  </si>
  <si>
    <t>GARMT-001-V3</t>
  </si>
  <si>
    <t>สีกลาง</t>
  </si>
  <si>
    <t>GARMT-001-V4</t>
  </si>
  <si>
    <t>สีเข้ม</t>
  </si>
  <si>
    <t>GARMT-002-V1</t>
  </si>
  <si>
    <t>ผ้า TC สีขาว</t>
  </si>
  <si>
    <t>GARMT-002-V2</t>
  </si>
  <si>
    <t>ผ้า TC สีอ่อน</t>
  </si>
  <si>
    <t>GARMT-002-V3</t>
  </si>
  <si>
    <t>ผ้า TC สีกลาง</t>
  </si>
  <si>
    <t>GARMT-002-V4</t>
  </si>
  <si>
    <t>ผ้า TC สีเข้ม</t>
  </si>
  <si>
    <t>GARMT-004-V1</t>
  </si>
  <si>
    <t>1 สี</t>
  </si>
  <si>
    <t>GARMT-004-V2</t>
  </si>
  <si>
    <t>2 สี</t>
  </si>
  <si>
    <t>GARMT-004-V3</t>
  </si>
  <si>
    <t>3 สี</t>
  </si>
  <si>
    <t>GARMT-004-V4</t>
  </si>
  <si>
    <t>4 สี</t>
  </si>
  <si>
    <t>PREM-004-V1</t>
  </si>
  <si>
    <t>หนังชามัวร์</t>
  </si>
  <si>
    <t>PREM-004-V2</t>
  </si>
  <si>
    <t>วัสดุผ้า</t>
  </si>
  <si>
    <t>PREM-001-V1</t>
  </si>
  <si>
    <t>6.5 ออนซ์</t>
  </si>
  <si>
    <t>PREM-001-V2</t>
  </si>
  <si>
    <t>22 ออนซ์</t>
  </si>
  <si>
    <t>POSM-006-v1</t>
  </si>
  <si>
    <t>XL</t>
  </si>
  <si>
    <t>POSM-007-v1</t>
  </si>
  <si>
    <t>20 L</t>
  </si>
  <si>
    <t>Vendor Code</t>
  </si>
  <si>
    <t>Vendor Name</t>
  </si>
  <si>
    <t>VEN-A</t>
  </si>
  <si>
    <t>Vendor A</t>
  </si>
  <si>
    <t>VEN-B</t>
  </si>
  <si>
    <t>Vendor B</t>
  </si>
  <si>
    <t>VEN-C</t>
  </si>
  <si>
    <t>Vendor C</t>
  </si>
  <si>
    <t>VEN-D</t>
  </si>
  <si>
    <t>Vendor D</t>
  </si>
  <si>
    <t>VEN-E</t>
  </si>
  <si>
    <t>Vendor E</t>
  </si>
  <si>
    <t>VEN-F</t>
  </si>
  <si>
    <t>Vendor F</t>
  </si>
  <si>
    <t>VEN-G</t>
  </si>
  <si>
    <t>Vendor G</t>
  </si>
  <si>
    <t>VEN-H</t>
  </si>
  <si>
    <t>Vendor H</t>
  </si>
  <si>
    <t>VEN-I</t>
  </si>
  <si>
    <t>Vendor I</t>
  </si>
  <si>
    <t>VEN-J</t>
  </si>
  <si>
    <t>Vendor J</t>
  </si>
  <si>
    <t>VEN-K</t>
  </si>
  <si>
    <t>Vendor K</t>
  </si>
  <si>
    <t>VEN-L</t>
  </si>
  <si>
    <t>Vendor L</t>
  </si>
  <si>
    <t>VEN-M</t>
  </si>
  <si>
    <t>Vendor M</t>
  </si>
  <si>
    <t>VEN-N</t>
  </si>
  <si>
    <t>Vendor N</t>
  </si>
  <si>
    <t>VEN-O</t>
  </si>
  <si>
    <t>Vendor O</t>
  </si>
  <si>
    <t>Year</t>
  </si>
  <si>
    <t>Product Description</t>
  </si>
  <si>
    <t>Price</t>
  </si>
  <si>
    <t>Qty</t>
  </si>
  <si>
    <t>1-99 ชิ้น</t>
  </si>
  <si>
    <t>100-499 ชิ้น</t>
  </si>
  <si>
    <t>500+ ชิ้น</t>
  </si>
  <si>
    <t>1-49 ชิ้น</t>
  </si>
  <si>
    <t>50-199 ชิ้น</t>
  </si>
  <si>
    <t>200+ ชิ้น</t>
  </si>
  <si>
    <t>1-999 ชิ้น</t>
  </si>
  <si>
    <t>1000+ ชิ้น</t>
  </si>
  <si>
    <t>1-24 ชิ้น</t>
  </si>
  <si>
    <t>25-99 ชิ้น</t>
  </si>
  <si>
    <t>500-999 ชิ้น</t>
  </si>
  <si>
    <t>Min of Price</t>
  </si>
  <si>
    <t>Grand Total</t>
  </si>
  <si>
    <t>หนังชามัวร์ Total</t>
  </si>
  <si>
    <t>วัสดุผ้า Total</t>
  </si>
  <si>
    <t>Bean Bag Min</t>
  </si>
  <si>
    <t>120x120 cm (โค้กเขียนชื่อร้านค้า) Total</t>
  </si>
  <si>
    <t>85x190 cm (ป้ายหน้าเคาน์เตอร์) Total</t>
  </si>
  <si>
    <t>70x150 cm (ป้ายหน้าเคาน์เตอร์) Total</t>
  </si>
  <si>
    <t>PP Board Min</t>
  </si>
  <si>
    <t>ผ้า TC สีขาว Total</t>
  </si>
  <si>
    <t>ผ้า TC สีกลาง Total</t>
  </si>
  <si>
    <t>เสื้อโปโล TC Min</t>
  </si>
  <si>
    <t>สีขาว Total</t>
  </si>
  <si>
    <t>สีอ่อน Total</t>
  </si>
  <si>
    <t>สีกลาง Total</t>
  </si>
  <si>
    <t>สีเข้ม Total</t>
  </si>
  <si>
    <t>เสื้อยืด Min</t>
  </si>
  <si>
    <t>6.5 ออนซ์ Total</t>
  </si>
  <si>
    <t>22 ออนซ์ Total</t>
  </si>
  <si>
    <t>แก้วกระดาษ Min</t>
  </si>
  <si>
    <t>16x24 นิ้ว Total</t>
  </si>
  <si>
    <t>24x32 นิ้ว Total</t>
  </si>
  <si>
    <t>แผ่นริจิ-โค้ก Min</t>
  </si>
  <si>
    <t>ไม่มีรายละเอียดย่อย</t>
  </si>
  <si>
    <t>ไม่มีรายละเอียดย่อย Total</t>
  </si>
  <si>
    <t>#REF!</t>
  </si>
  <si>
    <t>#REF! Total</t>
  </si>
  <si>
    <t>กล่องทิชชู-โค้ก Min</t>
  </si>
  <si>
    <t>20 L Total</t>
  </si>
  <si>
    <t>ฐานน้ำ Min</t>
  </si>
  <si>
    <t>120x40x150 cm (TT-DSD) Total</t>
  </si>
  <si>
    <t>150x60x150 cm (WS) Total</t>
  </si>
  <si>
    <t>ธงปีกนก Min</t>
  </si>
  <si>
    <t>ป้ายรายการอาหารโค้ก Min</t>
  </si>
  <si>
    <t>เอี้ยม (เต็มตัว) ไขว้หลัง Total</t>
  </si>
  <si>
    <t>ครึ่งตัว Total</t>
  </si>
  <si>
    <t>ผ้ากันเปื้อนโคคา-โคล่า Min</t>
  </si>
  <si>
    <t>36 นิ้ว โครงเหล็ก สีตาย (ไม่เกิน 4 สี) Total</t>
  </si>
  <si>
    <t>36 นิ้ว โครงเหล็ก ไล่ระดับสี (ไม่เกิน 8 เฉด) Total</t>
  </si>
  <si>
    <t>36 นิ้ว โครงไฟเบอร์ สีตาย (ไม่เกิน 4 สี) Total</t>
  </si>
  <si>
    <t>ร่มโค้ก Min</t>
  </si>
  <si>
    <t>1 สี Total</t>
  </si>
  <si>
    <t>2 สี Total</t>
  </si>
  <si>
    <t>4 สี Total</t>
  </si>
  <si>
    <t>สกรีน Min</t>
  </si>
  <si>
    <t>POSM-008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</si>
</sst>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THB&quot;* #,##0.00_);_(&quot;THB&quot;* \(#,##0.00\);_(&quot;THB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9B59B6"/>
        <bgColor rgb="FF9B59B6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5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44" fontId="0" fillId="0" borderId="0" xfId="0" applyNumberFormat="1" applyAlignment="1">
      <alignment horizontal="left" vertical="center"/>
    </xf>
    <xf numFmtId="0" fontId="0" fillId="0" borderId="0" xfId="0" pivotButton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pivotButton="1" applyAlignment="1">
      <alignment vertical="center"/>
    </xf>
  </cellXfs>
  <cellStyles count="2">
    <cellStyle name="Normal" xfId="0" builtinId="0"/>
    <cellStyle name="Normal 5" xfId="1" xr:uid="{00000000-0005-0000-0000-000001000000}"/>
  </cellStyles>
  <dxfs count="160"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rgb="FF9B59B6"/>
          <bgColor rgb="FF9B59B6"/>
        </patternFill>
      </fill>
      <alignment horizontal="center" vertical="bottom"/>
    </dxf>
    <dxf>
      <numFmt numFmtId="0" formatCode="General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rgb="FF70AD47"/>
          <bgColor rgb="FF70AD47"/>
        </patternFill>
      </fill>
      <alignment horizontal="center" vertical="bottom"/>
    </dxf>
    <dxf>
      <alignment horizontal="left" vertical="center"/>
    </dxf>
    <dxf>
      <numFmt numFmtId="0" formatCode="General"/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rgb="FF4472C4"/>
          <bgColor rgb="FF4472C4"/>
        </patternFill>
      </fill>
      <alignment horizontal="left" vertical="center"/>
    </dxf>
    <dxf>
      <alignment horizontal="left" vertical="center"/>
    </dxf>
    <dxf>
      <alignment horizontal="left" vertical="center"/>
    </dxf>
    <dxf>
      <numFmt numFmtId="34" formatCode="_(&quot;THB&quot;* #,##0.00_);_(&quot;THB&quot;* \(#,##0.00\);_(&quot;THB&quot;* &quot;-&quot;??_);_(@_)"/>
      <alignment horizontal="left" vertical="center"/>
    </dxf>
    <dxf>
      <numFmt numFmtId="0" formatCode="General"/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Calibri"/>
      </font>
      <fill>
        <patternFill patternType="solid">
          <fgColor rgb="FFFFC000"/>
          <bgColor rgb="FFFFC000"/>
        </patternFill>
      </fill>
      <alignment horizontal="center"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8.550559606483" createdVersion="8" refreshedVersion="8" minRefreshableVersion="3" recordCount="34" xr:uid="{43A2DB03-38EF-40C7-BD9F-46CD67F4147A}">
  <cacheSource type="worksheet">
    <worksheetSource name="Table4"/>
  </cacheSource>
  <cacheFields count="10">
    <cacheField name="Product Code" numFmtId="0">
      <sharedItems/>
    </cacheField>
    <cacheField name="Variant Code" numFmtId="0">
      <sharedItems containsBlank="1"/>
    </cacheField>
    <cacheField name="Vendor Code" numFmtId="0">
      <sharedItems/>
    </cacheField>
    <cacheField name="Vendor Name" numFmtId="0">
      <sharedItems count="16">
        <s v="Vendor A"/>
        <s v="Vendor B"/>
        <s v="Vendor C"/>
        <s v="Vendor D"/>
        <s v="Vendor E"/>
        <s v="Vendor N"/>
        <s v="Vendor F"/>
        <s v="Vendor G"/>
        <s v="Vendor H"/>
        <s v="Vendor I"/>
        <s v="Vendor O"/>
        <s v="Vendor J"/>
        <s v="Vendor K"/>
        <s v="Vendor L"/>
        <s v="Vendor M"/>
        <s v="-" u="1"/>
      </sharedItems>
    </cacheField>
    <cacheField name="Year" numFmtId="0">
      <sharedItems containsString="0" containsBlank="1" containsNumber="1" containsInteger="1" minValue="2026" maxValue="2026"/>
    </cacheField>
    <cacheField name="Product Name" numFmtId="0">
      <sharedItems count="14">
        <s v="ร่มโค้ก"/>
        <s v="กล่องทิชชู-โค้ก"/>
        <s v="ผ้ากันเปื้อนโคคา-โคล่า"/>
        <s v="ธงปีกนก"/>
        <s v="PP Board"/>
        <s v="ป้ายรายการอาหารโค้ก"/>
        <s v="แผ่นริจิ-โค้ก"/>
        <s v="เสื้อยืด"/>
        <s v="เสื้อโปโล TC"/>
        <s v="สกรีน"/>
        <s v="แก้วกระดาษ"/>
        <s v="Bean Bag"/>
        <s v="ฐานน้ำ"/>
        <s v="-" u="1"/>
      </sharedItems>
    </cacheField>
    <cacheField name="Product Description" numFmtId="0">
      <sharedItems count="40">
        <s v="36 นิ้ว โครงเหล็ก สีตาย (ไม่เกิน 4 สี)"/>
        <s v="36 นิ้ว โครงเหล็ก ไล่ระดับสี (ไม่เกิน 8 เฉด)"/>
        <s v="36 นิ้ว โครงไฟเบอร์ สีตาย (ไม่เกิน 4 สี)"/>
        <s v="ไม่มีรายละเอียดย่อย"/>
        <e v="#REF!"/>
        <s v="เอี้ยม (เต็มตัว) ไขว้หลัง"/>
        <s v="ครึ่งตัว"/>
        <s v="120x40x150 cm (TT-DSD)"/>
        <s v="150x60x150 cm (WS)"/>
        <s v="120x120 cm (โค้กเขียนชื่อร้านค้า)"/>
        <s v="85x190 cm (ป้ายหน้าเคาน์เตอร์)"/>
        <s v="70x150 cm (ป้ายหน้าเคาน์เตอร์)"/>
        <s v="16x24 นิ้ว"/>
        <s v="24x32 นิ้ว"/>
        <s v="สีขาว"/>
        <s v="สีอ่อน"/>
        <s v="สีกลาง"/>
        <s v="สีเข้ม"/>
        <s v="ผ้า TC สีขาว"/>
        <s v="ผ้า TC สีกลาง"/>
        <s v="1 สี"/>
        <s v="2 สี"/>
        <s v="4 สี"/>
        <s v="6.5 ออนซ์"/>
        <s v="22 ออนซ์"/>
        <s v="หนังชามัวร์"/>
        <s v="วัสดุผ้า"/>
        <s v="20 L"/>
        <s v="ร่มโค้ก" u="1"/>
        <s v="-" u="1"/>
        <s v="ผ้ากันเปื้อนโคคา-โคล่า" u="1"/>
        <s v="ธงปีกนก" u="1"/>
        <s v="PP Board" u="1"/>
        <s v="แผ่นริจิ-โค้ก" u="1"/>
        <s v="เสื้อยืด" u="1"/>
        <s v="เสื้อโปโล TC" u="1"/>
        <s v="สกรีน" u="1"/>
        <s v="แก้วกระดาษ" u="1"/>
        <s v="Bean Bag" u="1"/>
        <s v="ฐานน้ำ" u="1"/>
      </sharedItems>
    </cacheField>
    <cacheField name="Price" numFmtId="44">
      <sharedItems containsSemiMixedTypes="0" containsString="0" containsNumber="1" minValue="1.53" maxValue="3700"/>
    </cacheField>
    <cacheField name="Qty" numFmtId="0">
      <sharedItems containsMixedTypes="1" containsNumber="1" containsInteger="1" minValue="1" maxValue="1" count="12">
        <s v="1-99 ชิ้น"/>
        <s v="100-499 ชิ้น"/>
        <s v="500+ ชิ้น"/>
        <n v="1"/>
        <s v="1-49 ชิ้น"/>
        <s v="50-199 ชิ้น"/>
        <s v="200+ ชิ้น"/>
        <s v="1-999 ชิ้น"/>
        <s v="1000+ ชิ้น"/>
        <s v="1-24 ชิ้น"/>
        <s v="25-99 ชิ้น"/>
        <s v="500-999 ชิ้น"/>
      </sharedItems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POSM-001"/>
    <s v="POSM-001-V1"/>
    <s v="VEN-A"/>
    <x v="0"/>
    <n v="2026"/>
    <x v="0"/>
    <x v="0"/>
    <n v="523"/>
    <x v="0"/>
    <m/>
  </r>
  <r>
    <s v="POSM-001"/>
    <s v="POSM-001-V1"/>
    <s v="VEN-B"/>
    <x v="1"/>
    <n v="2026"/>
    <x v="0"/>
    <x v="0"/>
    <n v="565"/>
    <x v="1"/>
    <m/>
  </r>
  <r>
    <s v="POSM-001"/>
    <s v="POSM-001-V1"/>
    <s v="VEN-C"/>
    <x v="2"/>
    <n v="2026"/>
    <x v="0"/>
    <x v="0"/>
    <n v="480"/>
    <x v="2"/>
    <m/>
  </r>
  <r>
    <s v="POSM-001"/>
    <s v="POSM-001-V2"/>
    <s v="VEN-A"/>
    <x v="0"/>
    <n v="2026"/>
    <x v="0"/>
    <x v="1"/>
    <n v="528"/>
    <x v="3"/>
    <m/>
  </r>
  <r>
    <s v="POSM-001"/>
    <s v="POSM-001-V3"/>
    <s v="VEN-A"/>
    <x v="0"/>
    <n v="2026"/>
    <x v="0"/>
    <x v="2"/>
    <n v="523"/>
    <x v="3"/>
    <m/>
  </r>
  <r>
    <s v="POSM-002"/>
    <m/>
    <s v="VEN-C"/>
    <x v="2"/>
    <n v="2026"/>
    <x v="1"/>
    <x v="3"/>
    <n v="28.5"/>
    <x v="4"/>
    <m/>
  </r>
  <r>
    <s v="POSM-002"/>
    <m/>
    <s v="VEN-D"/>
    <x v="3"/>
    <n v="2026"/>
    <x v="1"/>
    <x v="3"/>
    <n v="30"/>
    <x v="5"/>
    <m/>
  </r>
  <r>
    <s v="POSM-002"/>
    <m/>
    <s v="VEN-E"/>
    <x v="4"/>
    <n v="2026"/>
    <x v="1"/>
    <x v="4"/>
    <n v="25"/>
    <x v="6"/>
    <m/>
  </r>
  <r>
    <s v="POSM-003"/>
    <s v="POSM-003-V1"/>
    <s v="VEN-E"/>
    <x v="4"/>
    <n v="2026"/>
    <x v="2"/>
    <x v="5"/>
    <n v="65"/>
    <x v="3"/>
    <m/>
  </r>
  <r>
    <s v="POSM-003"/>
    <s v="POSM-003-V2"/>
    <s v="VEN-E"/>
    <x v="4"/>
    <n v="2026"/>
    <x v="2"/>
    <x v="6"/>
    <n v="55"/>
    <x v="3"/>
    <m/>
  </r>
  <r>
    <s v="POSM-006"/>
    <s v="POSM-006-V1"/>
    <s v="VEN-N"/>
    <x v="5"/>
    <n v="2026"/>
    <x v="3"/>
    <x v="7"/>
    <n v="3500"/>
    <x v="7"/>
    <m/>
  </r>
  <r>
    <s v="POSM-006"/>
    <s v="POSM-006-V2"/>
    <s v="VEN-N"/>
    <x v="5"/>
    <n v="2026"/>
    <x v="3"/>
    <x v="8"/>
    <n v="3700"/>
    <x v="3"/>
    <m/>
  </r>
  <r>
    <s v="PRINT-001"/>
    <s v="PRINT-001-V1"/>
    <s v="VEN-F"/>
    <x v="6"/>
    <n v="2026"/>
    <x v="4"/>
    <x v="9"/>
    <n v="580"/>
    <x v="3"/>
    <m/>
  </r>
  <r>
    <s v="PRINT-001"/>
    <s v="PRINT-001-V2"/>
    <s v="VEN-F"/>
    <x v="6"/>
    <n v="2026"/>
    <x v="4"/>
    <x v="10"/>
    <n v="450"/>
    <x v="8"/>
    <m/>
  </r>
  <r>
    <s v="PRINT-001"/>
    <s v="PRINT-001-V3"/>
    <s v="VEN-F"/>
    <x v="6"/>
    <n v="2026"/>
    <x v="4"/>
    <x v="11"/>
    <n v="350"/>
    <x v="3"/>
    <m/>
  </r>
  <r>
    <s v="PRINT-002"/>
    <m/>
    <s v="VEN-G"/>
    <x v="7"/>
    <n v="2026"/>
    <x v="5"/>
    <x v="3"/>
    <n v="350"/>
    <x v="3"/>
    <m/>
  </r>
  <r>
    <s v="PRINT-005"/>
    <s v="PRINT-005-V1"/>
    <s v="VEN-H"/>
    <x v="8"/>
    <n v="2026"/>
    <x v="6"/>
    <x v="12"/>
    <n v="45"/>
    <x v="9"/>
    <m/>
  </r>
  <r>
    <s v="PRINT-005"/>
    <s v="PRINT-005-V2"/>
    <s v="VEN-H"/>
    <x v="8"/>
    <n v="2026"/>
    <x v="6"/>
    <x v="13"/>
    <n v="60"/>
    <x v="3"/>
    <m/>
  </r>
  <r>
    <s v="GARMT-001"/>
    <s v="GARMT-001-V1"/>
    <s v="VEN-I"/>
    <x v="9"/>
    <n v="2026"/>
    <x v="7"/>
    <x v="14"/>
    <n v="90"/>
    <x v="10"/>
    <m/>
  </r>
  <r>
    <s v="GARMT-001"/>
    <s v="GARMT-001-V2"/>
    <s v="VEN-I"/>
    <x v="9"/>
    <n v="2026"/>
    <x v="7"/>
    <x v="15"/>
    <n v="95"/>
    <x v="3"/>
    <m/>
  </r>
  <r>
    <s v="GARMT-001"/>
    <s v="GARMT-001-V3"/>
    <s v="VEN-I"/>
    <x v="9"/>
    <n v="2026"/>
    <x v="7"/>
    <x v="16"/>
    <n v="100"/>
    <x v="3"/>
    <m/>
  </r>
  <r>
    <s v="GARMT-001"/>
    <s v="GARMT-001-V4"/>
    <s v="VEN-I"/>
    <x v="9"/>
    <n v="2026"/>
    <x v="7"/>
    <x v="17"/>
    <n v="110"/>
    <x v="1"/>
    <m/>
  </r>
  <r>
    <s v="GARMT-001"/>
    <s v="GARMT-001-V1"/>
    <s v="VEN-O"/>
    <x v="10"/>
    <n v="2026"/>
    <x v="7"/>
    <x v="14"/>
    <n v="75"/>
    <x v="3"/>
    <m/>
  </r>
  <r>
    <s v="GARMT-002"/>
    <s v="GARMT-002-V1"/>
    <s v="VEN-J"/>
    <x v="11"/>
    <n v="2026"/>
    <x v="8"/>
    <x v="18"/>
    <n v="120"/>
    <x v="3"/>
    <m/>
  </r>
  <r>
    <s v="GARMT-002"/>
    <s v="GARMT-002-V3"/>
    <s v="VEN-J"/>
    <x v="11"/>
    <n v="2026"/>
    <x v="8"/>
    <x v="19"/>
    <n v="130"/>
    <x v="11"/>
    <m/>
  </r>
  <r>
    <s v="GARMT-004"/>
    <s v="GARMT-004-V1"/>
    <s v="VEN-K"/>
    <x v="12"/>
    <n v="2026"/>
    <x v="9"/>
    <x v="20"/>
    <n v="25"/>
    <x v="3"/>
    <m/>
  </r>
  <r>
    <s v="GARMT-004"/>
    <s v="GARMT-004-V2"/>
    <s v="VEN-K"/>
    <x v="12"/>
    <n v="2026"/>
    <x v="9"/>
    <x v="21"/>
    <n v="30"/>
    <x v="3"/>
    <m/>
  </r>
  <r>
    <s v="GARMT-004"/>
    <s v="GARMT-004-V4"/>
    <s v="VEN-K"/>
    <x v="12"/>
    <n v="2026"/>
    <x v="9"/>
    <x v="22"/>
    <n v="40"/>
    <x v="8"/>
    <m/>
  </r>
  <r>
    <s v="PREM-001"/>
    <s v="PREM-001-V1"/>
    <s v="VEN-L"/>
    <x v="13"/>
    <n v="2026"/>
    <x v="10"/>
    <x v="23"/>
    <n v="1.53"/>
    <x v="3"/>
    <m/>
  </r>
  <r>
    <s v="PREM-001"/>
    <s v="PREM-001-V2"/>
    <s v="VEN-L"/>
    <x v="13"/>
    <n v="2026"/>
    <x v="10"/>
    <x v="24"/>
    <n v="3.94"/>
    <x v="3"/>
    <m/>
  </r>
  <r>
    <s v="PREM-004"/>
    <s v="PREM-004-V1"/>
    <s v="VEN-M"/>
    <x v="14"/>
    <n v="2026"/>
    <x v="11"/>
    <x v="25"/>
    <n v="850"/>
    <x v="3"/>
    <m/>
  </r>
  <r>
    <s v="PREM-004"/>
    <s v="PREM-004-V2"/>
    <s v="VEN-M"/>
    <x v="14"/>
    <n v="2026"/>
    <x v="11"/>
    <x v="26"/>
    <n v="800"/>
    <x v="3"/>
    <m/>
  </r>
  <r>
    <s v="POSM-006"/>
    <s v="POSM-006-V1"/>
    <s v="VEN-A"/>
    <x v="0"/>
    <m/>
    <x v="3"/>
    <x v="7"/>
    <n v="1000"/>
    <x v="3"/>
    <m/>
  </r>
  <r>
    <s v="POSM-007"/>
    <s v="POSM-007-v1"/>
    <s v="VEN-A"/>
    <x v="0"/>
    <m/>
    <x v="12"/>
    <x v="27"/>
    <n v="600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18A9A-1FBF-4642-9E6B-EC794F1239B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:T80" firstHeaderRow="1" firstDataRow="2" firstDataCol="3"/>
  <pivotFields count="10">
    <pivotField compact="0" outline="0" showAll="0"/>
    <pivotField compact="0" outline="0" showAll="0"/>
    <pivotField compact="0" outline="0" showAll="0"/>
    <pivotField axis="axisCol" compact="0" outline="0" showAll="0">
      <items count="17">
        <item m="1" x="15"/>
        <item x="0"/>
        <item x="1"/>
        <item x="2"/>
        <item x="3"/>
        <item x="4"/>
        <item x="6"/>
        <item x="7"/>
        <item x="8"/>
        <item x="9"/>
        <item x="11"/>
        <item x="12"/>
        <item x="13"/>
        <item x="14"/>
        <item x="5"/>
        <item x="10"/>
        <item t="default"/>
      </items>
    </pivotField>
    <pivotField compact="0" outline="0" showAll="0"/>
    <pivotField axis="axisRow" subtotalCaption="? Min" compact="0" outline="0" showAll="0">
      <items count="15">
        <item m="1" x="13"/>
        <item x="11"/>
        <item x="4"/>
        <item x="8"/>
        <item x="7"/>
        <item x="10"/>
        <item x="6"/>
        <item x="1"/>
        <item x="12"/>
        <item x="3"/>
        <item x="5"/>
        <item x="2"/>
        <item x="0"/>
        <item x="9"/>
        <item t="default"/>
      </items>
    </pivotField>
    <pivotField axis="axisRow" compact="0" outline="0" showAll="0">
      <items count="41">
        <item m="1" x="29"/>
        <item m="1" x="38"/>
        <item m="1" x="32"/>
        <item m="1" x="35"/>
        <item m="1" x="34"/>
        <item m="1" x="37"/>
        <item m="1" x="33"/>
        <item m="1" x="39"/>
        <item m="1" x="31"/>
        <item m="1" x="30"/>
        <item m="1" x="28"/>
        <item m="1" x="3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compact="0" outline="0" showAll="0"/>
    <pivotField axis="axisRow" compact="0" outline="0" showAll="0">
      <items count="13">
        <item x="3"/>
        <item x="0"/>
        <item x="1"/>
        <item x="2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</pivotFields>
  <rowFields count="3">
    <field x="5"/>
    <field x="6"/>
    <field x="8"/>
  </rowFields>
  <rowItems count="77">
    <i>
      <x v="1"/>
      <x v="37"/>
      <x/>
    </i>
    <i t="default" r="1">
      <x v="37"/>
    </i>
    <i r="1">
      <x v="38"/>
      <x/>
    </i>
    <i t="default" r="1">
      <x v="38"/>
    </i>
    <i t="default">
      <x v="1"/>
    </i>
    <i>
      <x v="2"/>
      <x v="21"/>
      <x/>
    </i>
    <i t="default" r="1">
      <x v="21"/>
    </i>
    <i r="1">
      <x v="22"/>
      <x v="8"/>
    </i>
    <i t="default" r="1">
      <x v="22"/>
    </i>
    <i r="1">
      <x v="23"/>
      <x/>
    </i>
    <i t="default" r="1">
      <x v="23"/>
    </i>
    <i t="default">
      <x v="2"/>
    </i>
    <i>
      <x v="3"/>
      <x v="30"/>
      <x/>
    </i>
    <i t="default" r="1">
      <x v="30"/>
    </i>
    <i r="1">
      <x v="31"/>
      <x v="11"/>
    </i>
    <i t="default" r="1">
      <x v="31"/>
    </i>
    <i t="default">
      <x v="3"/>
    </i>
    <i>
      <x v="4"/>
      <x v="26"/>
      <x/>
    </i>
    <i r="2">
      <x v="10"/>
    </i>
    <i t="default" r="1">
      <x v="26"/>
    </i>
    <i r="1">
      <x v="27"/>
      <x/>
    </i>
    <i t="default" r="1">
      <x v="27"/>
    </i>
    <i r="1">
      <x v="28"/>
      <x/>
    </i>
    <i t="default" r="1">
      <x v="28"/>
    </i>
    <i r="1">
      <x v="29"/>
      <x v="2"/>
    </i>
    <i t="default" r="1">
      <x v="29"/>
    </i>
    <i t="default">
      <x v="4"/>
    </i>
    <i>
      <x v="5"/>
      <x v="35"/>
      <x/>
    </i>
    <i t="default" r="1">
      <x v="35"/>
    </i>
    <i r="1">
      <x v="36"/>
      <x/>
    </i>
    <i t="default" r="1">
      <x v="36"/>
    </i>
    <i t="default">
      <x v="5"/>
    </i>
    <i>
      <x v="6"/>
      <x v="24"/>
      <x v="9"/>
    </i>
    <i t="default" r="1">
      <x v="24"/>
    </i>
    <i r="1">
      <x v="25"/>
      <x/>
    </i>
    <i t="default" r="1">
      <x v="25"/>
    </i>
    <i t="default">
      <x v="6"/>
    </i>
    <i>
      <x v="7"/>
      <x v="15"/>
      <x v="4"/>
    </i>
    <i r="2">
      <x v="5"/>
    </i>
    <i t="default" r="1">
      <x v="15"/>
    </i>
    <i r="1">
      <x v="16"/>
      <x v="6"/>
    </i>
    <i t="default" r="1">
      <x v="16"/>
    </i>
    <i t="default">
      <x v="7"/>
    </i>
    <i>
      <x v="8"/>
      <x v="39"/>
      <x/>
    </i>
    <i t="default" r="1">
      <x v="39"/>
    </i>
    <i t="default">
      <x v="8"/>
    </i>
    <i>
      <x v="9"/>
      <x v="19"/>
      <x/>
    </i>
    <i r="2">
      <x v="7"/>
    </i>
    <i t="default" r="1">
      <x v="19"/>
    </i>
    <i r="1">
      <x v="20"/>
      <x/>
    </i>
    <i t="default" r="1">
      <x v="20"/>
    </i>
    <i t="default">
      <x v="9"/>
    </i>
    <i>
      <x v="10"/>
      <x v="15"/>
      <x/>
    </i>
    <i t="default" r="1">
      <x v="15"/>
    </i>
    <i t="default">
      <x v="10"/>
    </i>
    <i>
      <x v="11"/>
      <x v="17"/>
      <x/>
    </i>
    <i t="default" r="1">
      <x v="17"/>
    </i>
    <i r="1">
      <x v="18"/>
      <x/>
    </i>
    <i t="default" r="1">
      <x v="18"/>
    </i>
    <i t="default">
      <x v="11"/>
    </i>
    <i>
      <x v="12"/>
      <x v="12"/>
      <x v="1"/>
    </i>
    <i r="2">
      <x v="2"/>
    </i>
    <i r="2">
      <x v="3"/>
    </i>
    <i t="default" r="1">
      <x v="12"/>
    </i>
    <i r="1">
      <x v="13"/>
      <x/>
    </i>
    <i t="default" r="1">
      <x v="13"/>
    </i>
    <i r="1">
      <x v="14"/>
      <x/>
    </i>
    <i t="default" r="1">
      <x v="14"/>
    </i>
    <i t="default">
      <x v="12"/>
    </i>
    <i>
      <x v="13"/>
      <x v="32"/>
      <x/>
    </i>
    <i t="default" r="1">
      <x v="32"/>
    </i>
    <i r="1">
      <x v="33"/>
      <x/>
    </i>
    <i t="default" r="1">
      <x v="33"/>
    </i>
    <i r="1">
      <x v="34"/>
      <x v="8"/>
    </i>
    <i t="default" r="1">
      <x v="34"/>
    </i>
    <i t="default">
      <x v="13"/>
    </i>
    <i t="grand">
      <x/>
    </i>
  </rowItems>
  <colFields count="1">
    <field x="3"/>
  </colFields>
  <col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Min of Price" fld="7" subtotal="min" baseField="0" baseItem="0"/>
  </dataFields>
  <formats count="137">
    <format dxfId="136">
      <pivotArea type="origin" dataOnly="0" labelOnly="1" outline="0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3" type="button" dataOnly="0" labelOnly="1" outline="0" axis="axisCol" fieldPosition="0"/>
    </format>
    <format dxfId="131">
      <pivotArea type="topRight" dataOnly="0" labelOnly="1" outline="0" fieldPosition="0"/>
    </format>
    <format dxfId="130">
      <pivotArea field="5" type="button" dataOnly="0" labelOnly="1" outline="0" axis="axisRow" fieldPosition="0"/>
    </format>
    <format dxfId="129">
      <pivotArea field="6" type="button" dataOnly="0" labelOnly="1" outline="0" axis="axisRow" fieldPosition="1"/>
    </format>
    <format dxfId="128">
      <pivotArea field="8" type="button" dataOnly="0" labelOnly="1" outline="0" axis="axisRow" fieldPosition="2"/>
    </format>
    <format dxfId="127">
      <pivotArea dataOnly="0" labelOnly="1" outline="0" fieldPosition="0">
        <references count="1">
          <reference field="5" count="0"/>
        </references>
      </pivotArea>
    </format>
    <format dxfId="126">
      <pivotArea dataOnly="0" labelOnly="1" outline="0" fieldPosition="0">
        <references count="1">
          <reference field="5" count="0" defaultSubtotal="1"/>
        </references>
      </pivotArea>
    </format>
    <format dxfId="125">
      <pivotArea dataOnly="0" labelOnly="1" grandRow="1" outline="0" fieldPosition="0"/>
    </format>
    <format dxfId="124">
      <pivotArea dataOnly="0" labelOnly="1" outline="0" fieldPosition="0">
        <references count="2">
          <reference field="5" count="1" selected="0">
            <x v="1"/>
          </reference>
          <reference field="6" count="2">
            <x v="37"/>
            <x v="38"/>
          </reference>
        </references>
      </pivotArea>
    </format>
    <format dxfId="123">
      <pivotArea dataOnly="0" labelOnly="1" outline="0" fieldPosition="0">
        <references count="2">
          <reference field="5" count="1" selected="0">
            <x v="1"/>
          </reference>
          <reference field="6" count="2" defaultSubtotal="1">
            <x v="37"/>
            <x v="38"/>
          </reference>
        </references>
      </pivotArea>
    </format>
    <format dxfId="122">
      <pivotArea dataOnly="0" labelOnly="1" outline="0" fieldPosition="0">
        <references count="2">
          <reference field="5" count="1" selected="0">
            <x v="2"/>
          </reference>
          <reference field="6" count="3">
            <x v="21"/>
            <x v="22"/>
            <x v="23"/>
          </reference>
        </references>
      </pivotArea>
    </format>
    <format dxfId="121">
      <pivotArea dataOnly="0" labelOnly="1" outline="0" fieldPosition="0">
        <references count="2">
          <reference field="5" count="1" selected="0">
            <x v="2"/>
          </reference>
          <reference field="6" count="3" defaultSubtotal="1">
            <x v="21"/>
            <x v="22"/>
            <x v="23"/>
          </reference>
        </references>
      </pivotArea>
    </format>
    <format dxfId="120">
      <pivotArea dataOnly="0" labelOnly="1" outline="0" fieldPosition="0">
        <references count="2">
          <reference field="5" count="1" selected="0">
            <x v="3"/>
          </reference>
          <reference field="6" count="2">
            <x v="30"/>
            <x v="31"/>
          </reference>
        </references>
      </pivotArea>
    </format>
    <format dxfId="119">
      <pivotArea dataOnly="0" labelOnly="1" outline="0" fieldPosition="0">
        <references count="2">
          <reference field="5" count="1" selected="0">
            <x v="3"/>
          </reference>
          <reference field="6" count="2" defaultSubtotal="1">
            <x v="30"/>
            <x v="31"/>
          </reference>
        </references>
      </pivotArea>
    </format>
    <format dxfId="118">
      <pivotArea dataOnly="0" labelOnly="1" outline="0" fieldPosition="0">
        <references count="2">
          <reference field="5" count="1" selected="0">
            <x v="4"/>
          </reference>
          <reference field="6" count="4">
            <x v="26"/>
            <x v="27"/>
            <x v="28"/>
            <x v="29"/>
          </reference>
        </references>
      </pivotArea>
    </format>
    <format dxfId="117">
      <pivotArea dataOnly="0" labelOnly="1" outline="0" fieldPosition="0">
        <references count="2">
          <reference field="5" count="1" selected="0">
            <x v="4"/>
          </reference>
          <reference field="6" count="4" defaultSubtotal="1">
            <x v="26"/>
            <x v="27"/>
            <x v="28"/>
            <x v="29"/>
          </reference>
        </references>
      </pivotArea>
    </format>
    <format dxfId="116">
      <pivotArea dataOnly="0" labelOnly="1" outline="0" fieldPosition="0">
        <references count="2">
          <reference field="5" count="1" selected="0">
            <x v="5"/>
          </reference>
          <reference field="6" count="2">
            <x v="35"/>
            <x v="36"/>
          </reference>
        </references>
      </pivotArea>
    </format>
    <format dxfId="115">
      <pivotArea dataOnly="0" labelOnly="1" outline="0" fieldPosition="0">
        <references count="2">
          <reference field="5" count="1" selected="0">
            <x v="5"/>
          </reference>
          <reference field="6" count="2" defaultSubtotal="1">
            <x v="35"/>
            <x v="36"/>
          </reference>
        </references>
      </pivotArea>
    </format>
    <format dxfId="114">
      <pivotArea dataOnly="0" labelOnly="1" outline="0" fieldPosition="0">
        <references count="2">
          <reference field="5" count="1" selected="0">
            <x v="6"/>
          </reference>
          <reference field="6" count="2">
            <x v="24"/>
            <x v="25"/>
          </reference>
        </references>
      </pivotArea>
    </format>
    <format dxfId="113">
      <pivotArea dataOnly="0" labelOnly="1" outline="0" fieldPosition="0">
        <references count="2">
          <reference field="5" count="1" selected="0">
            <x v="6"/>
          </reference>
          <reference field="6" count="2" defaultSubtotal="1">
            <x v="24"/>
            <x v="25"/>
          </reference>
        </references>
      </pivotArea>
    </format>
    <format dxfId="112">
      <pivotArea dataOnly="0" labelOnly="1" outline="0" fieldPosition="0">
        <references count="2">
          <reference field="5" count="1" selected="0">
            <x v="7"/>
          </reference>
          <reference field="6" count="2">
            <x v="15"/>
            <x v="16"/>
          </reference>
        </references>
      </pivotArea>
    </format>
    <format dxfId="111">
      <pivotArea dataOnly="0" labelOnly="1" outline="0" fieldPosition="0">
        <references count="2">
          <reference field="5" count="1" selected="0">
            <x v="7"/>
          </reference>
          <reference field="6" count="2" defaultSubtotal="1">
            <x v="15"/>
            <x v="16"/>
          </reference>
        </references>
      </pivotArea>
    </format>
    <format dxfId="110">
      <pivotArea dataOnly="0" labelOnly="1" outline="0" fieldPosition="0">
        <references count="2">
          <reference field="5" count="1" selected="0">
            <x v="8"/>
          </reference>
          <reference field="6" count="1">
            <x v="39"/>
          </reference>
        </references>
      </pivotArea>
    </format>
    <format dxfId="109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9"/>
          </reference>
        </references>
      </pivotArea>
    </format>
    <format dxfId="108">
      <pivotArea dataOnly="0" labelOnly="1" outline="0" fieldPosition="0">
        <references count="2">
          <reference field="5" count="1" selected="0">
            <x v="9"/>
          </reference>
          <reference field="6" count="2">
            <x v="19"/>
            <x v="20"/>
          </reference>
        </references>
      </pivotArea>
    </format>
    <format dxfId="107">
      <pivotArea dataOnly="0" labelOnly="1" outline="0" fieldPosition="0">
        <references count="2">
          <reference field="5" count="1" selected="0">
            <x v="9"/>
          </reference>
          <reference field="6" count="2" defaultSubtotal="1">
            <x v="19"/>
            <x v="20"/>
          </reference>
        </references>
      </pivotArea>
    </format>
    <format dxfId="106">
      <pivotArea dataOnly="0" labelOnly="1" outline="0" fieldPosition="0">
        <references count="2">
          <reference field="5" count="1" selected="0">
            <x v="10"/>
          </reference>
          <reference field="6" count="1">
            <x v="15"/>
          </reference>
        </references>
      </pivotArea>
    </format>
    <format dxfId="105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15"/>
          </reference>
        </references>
      </pivotArea>
    </format>
    <format dxfId="104">
      <pivotArea dataOnly="0" labelOnly="1" outline="0" fieldPosition="0">
        <references count="2">
          <reference field="5" count="1" selected="0">
            <x v="11"/>
          </reference>
          <reference field="6" count="2">
            <x v="17"/>
            <x v="18"/>
          </reference>
        </references>
      </pivotArea>
    </format>
    <format dxfId="103">
      <pivotArea dataOnly="0" labelOnly="1" outline="0" fieldPosition="0">
        <references count="2">
          <reference field="5" count="1" selected="0">
            <x v="11"/>
          </reference>
          <reference field="6" count="2" defaultSubtotal="1">
            <x v="17"/>
            <x v="18"/>
          </reference>
        </references>
      </pivotArea>
    </format>
    <format dxfId="102">
      <pivotArea dataOnly="0" labelOnly="1" outline="0" fieldPosition="0">
        <references count="2">
          <reference field="5" count="1" selected="0">
            <x v="12"/>
          </reference>
          <reference field="6" count="3">
            <x v="12"/>
            <x v="13"/>
            <x v="14"/>
          </reference>
        </references>
      </pivotArea>
    </format>
    <format dxfId="101">
      <pivotArea dataOnly="0" labelOnly="1" outline="0" fieldPosition="0">
        <references count="2">
          <reference field="5" count="1" selected="0">
            <x v="12"/>
          </reference>
          <reference field="6" count="3" defaultSubtotal="1">
            <x v="12"/>
            <x v="13"/>
            <x v="14"/>
          </reference>
        </references>
      </pivotArea>
    </format>
    <format dxfId="100">
      <pivotArea dataOnly="0" labelOnly="1" outline="0" fieldPosition="0">
        <references count="2">
          <reference field="5" count="1" selected="0">
            <x v="13"/>
          </reference>
          <reference field="6" count="3">
            <x v="32"/>
            <x v="33"/>
            <x v="34"/>
          </reference>
        </references>
      </pivotArea>
    </format>
    <format dxfId="99">
      <pivotArea dataOnly="0" labelOnly="1" outline="0" fieldPosition="0">
        <references count="2">
          <reference field="5" count="1" selected="0">
            <x v="13"/>
          </reference>
          <reference field="6" count="3" defaultSubtotal="1">
            <x v="32"/>
            <x v="33"/>
            <x v="34"/>
          </reference>
        </references>
      </pivotArea>
    </format>
    <format dxfId="98">
      <pivotArea dataOnly="0" labelOnly="1" outline="0" fieldPosition="0">
        <references count="3">
          <reference field="5" count="1" selected="0">
            <x v="1"/>
          </reference>
          <reference field="6" count="1" selected="0">
            <x v="37"/>
          </reference>
          <reference field="8" count="1">
            <x v="0"/>
          </reference>
        </references>
      </pivotArea>
    </format>
    <format dxfId="97">
      <pivotArea dataOnly="0" labelOnly="1" outline="0" fieldPosition="0">
        <references count="3">
          <reference field="5" count="1" selected="0">
            <x v="1"/>
          </reference>
          <reference field="6" count="1" selected="0">
            <x v="38"/>
          </reference>
          <reference field="8" count="1">
            <x v="0"/>
          </reference>
        </references>
      </pivotArea>
    </format>
    <format dxfId="96">
      <pivotArea dataOnly="0" labelOnly="1" outline="0" fieldPosition="0">
        <references count="3">
          <reference field="5" count="1" selected="0">
            <x v="2"/>
          </reference>
          <reference field="6" count="1" selected="0">
            <x v="21"/>
          </reference>
          <reference field="8" count="1">
            <x v="0"/>
          </reference>
        </references>
      </pivotArea>
    </format>
    <format dxfId="95">
      <pivotArea dataOnly="0" labelOnly="1" outline="0" fieldPosition="0">
        <references count="3">
          <reference field="5" count="1" selected="0">
            <x v="2"/>
          </reference>
          <reference field="6" count="1" selected="0">
            <x v="22"/>
          </reference>
          <reference field="8" count="1">
            <x v="8"/>
          </reference>
        </references>
      </pivotArea>
    </format>
    <format dxfId="94">
      <pivotArea dataOnly="0" labelOnly="1" outline="0" fieldPosition="0">
        <references count="3">
          <reference field="5" count="1" selected="0">
            <x v="2"/>
          </reference>
          <reference field="6" count="1" selected="0">
            <x v="23"/>
          </reference>
          <reference field="8" count="1">
            <x v="0"/>
          </reference>
        </references>
      </pivotArea>
    </format>
    <format dxfId="93">
      <pivotArea dataOnly="0" labelOnly="1" outline="0" fieldPosition="0">
        <references count="3">
          <reference field="5" count="1" selected="0">
            <x v="3"/>
          </reference>
          <reference field="6" count="1" selected="0">
            <x v="30"/>
          </reference>
          <reference field="8" count="1">
            <x v="0"/>
          </reference>
        </references>
      </pivotArea>
    </format>
    <format dxfId="92">
      <pivotArea dataOnly="0" labelOnly="1" outline="0" fieldPosition="0">
        <references count="3">
          <reference field="5" count="1" selected="0">
            <x v="3"/>
          </reference>
          <reference field="6" count="1" selected="0">
            <x v="31"/>
          </reference>
          <reference field="8" count="1">
            <x v="11"/>
          </reference>
        </references>
      </pivotArea>
    </format>
    <format dxfId="91">
      <pivotArea dataOnly="0" labelOnly="1" outline="0" fieldPosition="0">
        <references count="3">
          <reference field="5" count="1" selected="0">
            <x v="4"/>
          </reference>
          <reference field="6" count="1" selected="0">
            <x v="26"/>
          </reference>
          <reference field="8" count="2">
            <x v="0"/>
            <x v="10"/>
          </reference>
        </references>
      </pivotArea>
    </format>
    <format dxfId="90">
      <pivotArea dataOnly="0" labelOnly="1" outline="0" fieldPosition="0">
        <references count="3">
          <reference field="5" count="1" selected="0">
            <x v="4"/>
          </reference>
          <reference field="6" count="1" selected="0">
            <x v="27"/>
          </reference>
          <reference field="8" count="1">
            <x v="0"/>
          </reference>
        </references>
      </pivotArea>
    </format>
    <format dxfId="89">
      <pivotArea dataOnly="0" labelOnly="1" outline="0" fieldPosition="0">
        <references count="3">
          <reference field="5" count="1" selected="0">
            <x v="4"/>
          </reference>
          <reference field="6" count="1" selected="0">
            <x v="28"/>
          </reference>
          <reference field="8" count="1">
            <x v="0"/>
          </reference>
        </references>
      </pivotArea>
    </format>
    <format dxfId="88">
      <pivotArea dataOnly="0" labelOnly="1" outline="0" fieldPosition="0">
        <references count="3">
          <reference field="5" count="1" selected="0">
            <x v="4"/>
          </reference>
          <reference field="6" count="1" selected="0">
            <x v="29"/>
          </reference>
          <reference field="8" count="1">
            <x v="2"/>
          </reference>
        </references>
      </pivotArea>
    </format>
    <format dxfId="87">
      <pivotArea dataOnly="0" labelOnly="1" outline="0" fieldPosition="0">
        <references count="3">
          <reference field="5" count="1" selected="0">
            <x v="5"/>
          </reference>
          <reference field="6" count="1" selected="0">
            <x v="35"/>
          </reference>
          <reference field="8" count="1">
            <x v="0"/>
          </reference>
        </references>
      </pivotArea>
    </format>
    <format dxfId="86">
      <pivotArea dataOnly="0" labelOnly="1" outline="0" fieldPosition="0">
        <references count="3">
          <reference field="5" count="1" selected="0">
            <x v="5"/>
          </reference>
          <reference field="6" count="1" selected="0">
            <x v="36"/>
          </reference>
          <reference field="8" count="1">
            <x v="0"/>
          </reference>
        </references>
      </pivotArea>
    </format>
    <format dxfId="85">
      <pivotArea dataOnly="0" labelOnly="1" outline="0" fieldPosition="0">
        <references count="3">
          <reference field="5" count="1" selected="0">
            <x v="6"/>
          </reference>
          <reference field="6" count="1" selected="0">
            <x v="24"/>
          </reference>
          <reference field="8" count="1">
            <x v="9"/>
          </reference>
        </references>
      </pivotArea>
    </format>
    <format dxfId="84">
      <pivotArea dataOnly="0" labelOnly="1" outline="0" fieldPosition="0">
        <references count="3">
          <reference field="5" count="1" selected="0">
            <x v="6"/>
          </reference>
          <reference field="6" count="1" selected="0">
            <x v="25"/>
          </reference>
          <reference field="8" count="1">
            <x v="0"/>
          </reference>
        </references>
      </pivotArea>
    </format>
    <format dxfId="83">
      <pivotArea dataOnly="0" labelOnly="1" outline="0" fieldPosition="0">
        <references count="3">
          <reference field="5" count="1" selected="0">
            <x v="7"/>
          </reference>
          <reference field="6" count="1" selected="0">
            <x v="15"/>
          </reference>
          <reference field="8" count="2">
            <x v="4"/>
            <x v="5"/>
          </reference>
        </references>
      </pivotArea>
    </format>
    <format dxfId="82">
      <pivotArea dataOnly="0" labelOnly="1" outline="0" fieldPosition="0">
        <references count="3">
          <reference field="5" count="1" selected="0">
            <x v="7"/>
          </reference>
          <reference field="6" count="1" selected="0">
            <x v="16"/>
          </reference>
          <reference field="8" count="1">
            <x v="6"/>
          </reference>
        </references>
      </pivotArea>
    </format>
    <format dxfId="81">
      <pivotArea dataOnly="0" labelOnly="1" outline="0" fieldPosition="0">
        <references count="3">
          <reference field="5" count="1" selected="0">
            <x v="8"/>
          </reference>
          <reference field="6" count="1" selected="0">
            <x v="39"/>
          </reference>
          <reference field="8" count="1">
            <x v="0"/>
          </reference>
        </references>
      </pivotArea>
    </format>
    <format dxfId="80">
      <pivotArea dataOnly="0" labelOnly="1" outline="0" fieldPosition="0">
        <references count="3">
          <reference field="5" count="1" selected="0">
            <x v="9"/>
          </reference>
          <reference field="6" count="1" selected="0">
            <x v="19"/>
          </reference>
          <reference field="8" count="2">
            <x v="0"/>
            <x v="7"/>
          </reference>
        </references>
      </pivotArea>
    </format>
    <format dxfId="79">
      <pivotArea dataOnly="0" labelOnly="1" outline="0" fieldPosition="0">
        <references count="3">
          <reference field="5" count="1" selected="0">
            <x v="9"/>
          </reference>
          <reference field="6" count="1" selected="0">
            <x v="20"/>
          </reference>
          <reference field="8" count="1">
            <x v="0"/>
          </reference>
        </references>
      </pivotArea>
    </format>
    <format dxfId="78">
      <pivotArea dataOnly="0" labelOnly="1" outline="0" fieldPosition="0">
        <references count="3">
          <reference field="5" count="1" selected="0">
            <x v="10"/>
          </reference>
          <reference field="6" count="1" selected="0">
            <x v="15"/>
          </reference>
          <reference field="8" count="1">
            <x v="0"/>
          </reference>
        </references>
      </pivotArea>
    </format>
    <format dxfId="77">
      <pivotArea dataOnly="0" labelOnly="1" outline="0" fieldPosition="0">
        <references count="3">
          <reference field="5" count="1" selected="0">
            <x v="11"/>
          </reference>
          <reference field="6" count="1" selected="0">
            <x v="17"/>
          </reference>
          <reference field="8" count="1">
            <x v="0"/>
          </reference>
        </references>
      </pivotArea>
    </format>
    <format dxfId="76">
      <pivotArea dataOnly="0" labelOnly="1" outline="0" fieldPosition="0">
        <references count="3">
          <reference field="5" count="1" selected="0">
            <x v="11"/>
          </reference>
          <reference field="6" count="1" selected="0">
            <x v="18"/>
          </reference>
          <reference field="8" count="1">
            <x v="0"/>
          </reference>
        </references>
      </pivotArea>
    </format>
    <format dxfId="75">
      <pivotArea dataOnly="0" labelOnly="1" outline="0" fieldPosition="0">
        <references count="3">
          <reference field="5" count="1" selected="0">
            <x v="12"/>
          </reference>
          <reference field="6" count="1" selected="0">
            <x v="12"/>
          </reference>
          <reference field="8" count="3">
            <x v="1"/>
            <x v="2"/>
            <x v="3"/>
          </reference>
        </references>
      </pivotArea>
    </format>
    <format dxfId="74">
      <pivotArea dataOnly="0" labelOnly="1" outline="0" fieldPosition="0">
        <references count="3">
          <reference field="5" count="1" selected="0">
            <x v="12"/>
          </reference>
          <reference field="6" count="1" selected="0">
            <x v="13"/>
          </reference>
          <reference field="8" count="1">
            <x v="0"/>
          </reference>
        </references>
      </pivotArea>
    </format>
    <format dxfId="73">
      <pivotArea dataOnly="0" labelOnly="1" outline="0" fieldPosition="0">
        <references count="3">
          <reference field="5" count="1" selected="0">
            <x v="12"/>
          </reference>
          <reference field="6" count="1" selected="0">
            <x v="14"/>
          </reference>
          <reference field="8" count="1">
            <x v="0"/>
          </reference>
        </references>
      </pivotArea>
    </format>
    <format dxfId="72">
      <pivotArea dataOnly="0" labelOnly="1" outline="0" fieldPosition="0">
        <references count="3">
          <reference field="5" count="1" selected="0">
            <x v="13"/>
          </reference>
          <reference field="6" count="1" selected="0">
            <x v="32"/>
          </reference>
          <reference field="8" count="1">
            <x v="0"/>
          </reference>
        </references>
      </pivotArea>
    </format>
    <format dxfId="71">
      <pivotArea dataOnly="0" labelOnly="1" outline="0" fieldPosition="0">
        <references count="3">
          <reference field="5" count="1" selected="0">
            <x v="13"/>
          </reference>
          <reference field="6" count="1" selected="0">
            <x v="33"/>
          </reference>
          <reference field="8" count="1">
            <x v="0"/>
          </reference>
        </references>
      </pivotArea>
    </format>
    <format dxfId="70">
      <pivotArea dataOnly="0" labelOnly="1" outline="0" fieldPosition="0">
        <references count="3">
          <reference field="5" count="1" selected="0">
            <x v="13"/>
          </reference>
          <reference field="6" count="1" selected="0">
            <x v="34"/>
          </reference>
          <reference field="8" count="1">
            <x v="8"/>
          </reference>
        </references>
      </pivotArea>
    </format>
    <format dxfId="69">
      <pivotArea dataOnly="0" labelOnly="1" outline="0" fieldPosition="0">
        <references count="1">
          <reference field="3" count="0"/>
        </references>
      </pivotArea>
    </format>
    <format dxfId="68">
      <pivotArea dataOnly="0" labelOnly="1" grandCol="1" outline="0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type="origin" dataOnly="0" labelOnly="1" outline="0" fieldPosition="0"/>
    </format>
    <format dxfId="64">
      <pivotArea field="3" type="button" dataOnly="0" labelOnly="1" outline="0" axis="axisCol" fieldPosition="0"/>
    </format>
    <format dxfId="63">
      <pivotArea type="topRight" dataOnly="0" labelOnly="1" outline="0" fieldPosition="0"/>
    </format>
    <format dxfId="62">
      <pivotArea field="5" type="button" dataOnly="0" labelOnly="1" outline="0" axis="axisRow" fieldPosition="0"/>
    </format>
    <format dxfId="61">
      <pivotArea field="6" type="button" dataOnly="0" labelOnly="1" outline="0" axis="axisRow" fieldPosition="1"/>
    </format>
    <format dxfId="60">
      <pivotArea field="8" type="button" dataOnly="0" labelOnly="1" outline="0" axis="axisRow" fieldPosition="2"/>
    </format>
    <format dxfId="59">
      <pivotArea dataOnly="0" labelOnly="1" outline="0" fieldPosition="0">
        <references count="1">
          <reference field="5" count="0"/>
        </references>
      </pivotArea>
    </format>
    <format dxfId="58">
      <pivotArea dataOnly="0" labelOnly="1" outline="0" fieldPosition="0">
        <references count="1">
          <reference field="5" count="0" defaultSubtotal="1"/>
        </references>
      </pivotArea>
    </format>
    <format dxfId="57">
      <pivotArea dataOnly="0" labelOnly="1" grandRow="1" outline="0" fieldPosition="0"/>
    </format>
    <format dxfId="56">
      <pivotArea dataOnly="0" labelOnly="1" outline="0" fieldPosition="0">
        <references count="2">
          <reference field="5" count="1" selected="0">
            <x v="1"/>
          </reference>
          <reference field="6" count="2">
            <x v="37"/>
            <x v="38"/>
          </reference>
        </references>
      </pivotArea>
    </format>
    <format dxfId="55">
      <pivotArea dataOnly="0" labelOnly="1" outline="0" fieldPosition="0">
        <references count="2">
          <reference field="5" count="1" selected="0">
            <x v="1"/>
          </reference>
          <reference field="6" count="2" defaultSubtotal="1">
            <x v="37"/>
            <x v="38"/>
          </reference>
        </references>
      </pivotArea>
    </format>
    <format dxfId="54">
      <pivotArea dataOnly="0" labelOnly="1" outline="0" fieldPosition="0">
        <references count="2">
          <reference field="5" count="1" selected="0">
            <x v="2"/>
          </reference>
          <reference field="6" count="3">
            <x v="21"/>
            <x v="22"/>
            <x v="23"/>
          </reference>
        </references>
      </pivotArea>
    </format>
    <format dxfId="53">
      <pivotArea dataOnly="0" labelOnly="1" outline="0" fieldPosition="0">
        <references count="2">
          <reference field="5" count="1" selected="0">
            <x v="2"/>
          </reference>
          <reference field="6" count="3" defaultSubtotal="1">
            <x v="21"/>
            <x v="22"/>
            <x v="23"/>
          </reference>
        </references>
      </pivotArea>
    </format>
    <format dxfId="52">
      <pivotArea dataOnly="0" labelOnly="1" outline="0" fieldPosition="0">
        <references count="2">
          <reference field="5" count="1" selected="0">
            <x v="3"/>
          </reference>
          <reference field="6" count="2">
            <x v="30"/>
            <x v="31"/>
          </reference>
        </references>
      </pivotArea>
    </format>
    <format dxfId="51">
      <pivotArea dataOnly="0" labelOnly="1" outline="0" fieldPosition="0">
        <references count="2">
          <reference field="5" count="1" selected="0">
            <x v="3"/>
          </reference>
          <reference field="6" count="2" defaultSubtotal="1">
            <x v="30"/>
            <x v="31"/>
          </reference>
        </references>
      </pivotArea>
    </format>
    <format dxfId="50">
      <pivotArea dataOnly="0" labelOnly="1" outline="0" fieldPosition="0">
        <references count="2">
          <reference field="5" count="1" selected="0">
            <x v="4"/>
          </reference>
          <reference field="6" count="4">
            <x v="26"/>
            <x v="27"/>
            <x v="28"/>
            <x v="29"/>
          </reference>
        </references>
      </pivotArea>
    </format>
    <format dxfId="49">
      <pivotArea dataOnly="0" labelOnly="1" outline="0" fieldPosition="0">
        <references count="2">
          <reference field="5" count="1" selected="0">
            <x v="4"/>
          </reference>
          <reference field="6" count="4" defaultSubtotal="1">
            <x v="26"/>
            <x v="27"/>
            <x v="28"/>
            <x v="29"/>
          </reference>
        </references>
      </pivotArea>
    </format>
    <format dxfId="48">
      <pivotArea dataOnly="0" labelOnly="1" outline="0" fieldPosition="0">
        <references count="2">
          <reference field="5" count="1" selected="0">
            <x v="5"/>
          </reference>
          <reference field="6" count="2">
            <x v="35"/>
            <x v="36"/>
          </reference>
        </references>
      </pivotArea>
    </format>
    <format dxfId="47">
      <pivotArea dataOnly="0" labelOnly="1" outline="0" fieldPosition="0">
        <references count="2">
          <reference field="5" count="1" selected="0">
            <x v="5"/>
          </reference>
          <reference field="6" count="2" defaultSubtotal="1">
            <x v="35"/>
            <x v="36"/>
          </reference>
        </references>
      </pivotArea>
    </format>
    <format dxfId="46">
      <pivotArea dataOnly="0" labelOnly="1" outline="0" fieldPosition="0">
        <references count="2">
          <reference field="5" count="1" selected="0">
            <x v="6"/>
          </reference>
          <reference field="6" count="2">
            <x v="24"/>
            <x v="25"/>
          </reference>
        </references>
      </pivotArea>
    </format>
    <format dxfId="45">
      <pivotArea dataOnly="0" labelOnly="1" outline="0" fieldPosition="0">
        <references count="2">
          <reference field="5" count="1" selected="0">
            <x v="6"/>
          </reference>
          <reference field="6" count="2" defaultSubtotal="1">
            <x v="24"/>
            <x v="25"/>
          </reference>
        </references>
      </pivotArea>
    </format>
    <format dxfId="44">
      <pivotArea dataOnly="0" labelOnly="1" outline="0" fieldPosition="0">
        <references count="2">
          <reference field="5" count="1" selected="0">
            <x v="7"/>
          </reference>
          <reference field="6" count="2">
            <x v="15"/>
            <x v="16"/>
          </reference>
        </references>
      </pivotArea>
    </format>
    <format dxfId="43">
      <pivotArea dataOnly="0" labelOnly="1" outline="0" fieldPosition="0">
        <references count="2">
          <reference field="5" count="1" selected="0">
            <x v="7"/>
          </reference>
          <reference field="6" count="2" defaultSubtotal="1">
            <x v="15"/>
            <x v="16"/>
          </reference>
        </references>
      </pivotArea>
    </format>
    <format dxfId="42">
      <pivotArea dataOnly="0" labelOnly="1" outline="0" fieldPosition="0">
        <references count="2">
          <reference field="5" count="1" selected="0">
            <x v="8"/>
          </reference>
          <reference field="6" count="1">
            <x v="39"/>
          </reference>
        </references>
      </pivotArea>
    </format>
    <format dxfId="41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9"/>
          </reference>
        </references>
      </pivotArea>
    </format>
    <format dxfId="40">
      <pivotArea dataOnly="0" labelOnly="1" outline="0" fieldPosition="0">
        <references count="2">
          <reference field="5" count="1" selected="0">
            <x v="9"/>
          </reference>
          <reference field="6" count="2">
            <x v="19"/>
            <x v="20"/>
          </reference>
        </references>
      </pivotArea>
    </format>
    <format dxfId="39">
      <pivotArea dataOnly="0" labelOnly="1" outline="0" fieldPosition="0">
        <references count="2">
          <reference field="5" count="1" selected="0">
            <x v="9"/>
          </reference>
          <reference field="6" count="2" defaultSubtotal="1">
            <x v="19"/>
            <x v="20"/>
          </reference>
        </references>
      </pivotArea>
    </format>
    <format dxfId="38">
      <pivotArea dataOnly="0" labelOnly="1" outline="0" fieldPosition="0">
        <references count="2">
          <reference field="5" count="1" selected="0">
            <x v="10"/>
          </reference>
          <reference field="6" count="1">
            <x v="15"/>
          </reference>
        </references>
      </pivotArea>
    </format>
    <format dxfId="37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15"/>
          </reference>
        </references>
      </pivotArea>
    </format>
    <format dxfId="36">
      <pivotArea dataOnly="0" labelOnly="1" outline="0" fieldPosition="0">
        <references count="2">
          <reference field="5" count="1" selected="0">
            <x v="11"/>
          </reference>
          <reference field="6" count="2">
            <x v="17"/>
            <x v="18"/>
          </reference>
        </references>
      </pivotArea>
    </format>
    <format dxfId="35">
      <pivotArea dataOnly="0" labelOnly="1" outline="0" fieldPosition="0">
        <references count="2">
          <reference field="5" count="1" selected="0">
            <x v="11"/>
          </reference>
          <reference field="6" count="2" defaultSubtotal="1">
            <x v="17"/>
            <x v="18"/>
          </reference>
        </references>
      </pivotArea>
    </format>
    <format dxfId="34">
      <pivotArea dataOnly="0" labelOnly="1" outline="0" fieldPosition="0">
        <references count="2">
          <reference field="5" count="1" selected="0">
            <x v="12"/>
          </reference>
          <reference field="6" count="3">
            <x v="12"/>
            <x v="13"/>
            <x v="14"/>
          </reference>
        </references>
      </pivotArea>
    </format>
    <format dxfId="33">
      <pivotArea dataOnly="0" labelOnly="1" outline="0" fieldPosition="0">
        <references count="2">
          <reference field="5" count="1" selected="0">
            <x v="12"/>
          </reference>
          <reference field="6" count="3" defaultSubtotal="1">
            <x v="12"/>
            <x v="13"/>
            <x v="14"/>
          </reference>
        </references>
      </pivotArea>
    </format>
    <format dxfId="32">
      <pivotArea dataOnly="0" labelOnly="1" outline="0" fieldPosition="0">
        <references count="2">
          <reference field="5" count="1" selected="0">
            <x v="13"/>
          </reference>
          <reference field="6" count="3">
            <x v="32"/>
            <x v="33"/>
            <x v="34"/>
          </reference>
        </references>
      </pivotArea>
    </format>
    <format dxfId="31">
      <pivotArea dataOnly="0" labelOnly="1" outline="0" fieldPosition="0">
        <references count="2">
          <reference field="5" count="1" selected="0">
            <x v="13"/>
          </reference>
          <reference field="6" count="3" defaultSubtotal="1">
            <x v="32"/>
            <x v="33"/>
            <x v="34"/>
          </reference>
        </references>
      </pivotArea>
    </format>
    <format dxfId="30">
      <pivotArea dataOnly="0" labelOnly="1" outline="0" fieldPosition="0">
        <references count="3">
          <reference field="5" count="1" selected="0">
            <x v="1"/>
          </reference>
          <reference field="6" count="1" selected="0">
            <x v="37"/>
          </reference>
          <reference field="8" count="1">
            <x v="0"/>
          </reference>
        </references>
      </pivotArea>
    </format>
    <format dxfId="29">
      <pivotArea dataOnly="0" labelOnly="1" outline="0" fieldPosition="0">
        <references count="3">
          <reference field="5" count="1" selected="0">
            <x v="1"/>
          </reference>
          <reference field="6" count="1" selected="0">
            <x v="38"/>
          </reference>
          <reference field="8" count="1">
            <x v="0"/>
          </reference>
        </references>
      </pivotArea>
    </format>
    <format dxfId="28">
      <pivotArea dataOnly="0" labelOnly="1" outline="0" fieldPosition="0">
        <references count="3">
          <reference field="5" count="1" selected="0">
            <x v="2"/>
          </reference>
          <reference field="6" count="1" selected="0">
            <x v="21"/>
          </reference>
          <reference field="8" count="1">
            <x v="0"/>
          </reference>
        </references>
      </pivotArea>
    </format>
    <format dxfId="27">
      <pivotArea dataOnly="0" labelOnly="1" outline="0" fieldPosition="0">
        <references count="3">
          <reference field="5" count="1" selected="0">
            <x v="2"/>
          </reference>
          <reference field="6" count="1" selected="0">
            <x v="22"/>
          </reference>
          <reference field="8" count="1">
            <x v="8"/>
          </reference>
        </references>
      </pivotArea>
    </format>
    <format dxfId="26">
      <pivotArea dataOnly="0" labelOnly="1" outline="0" fieldPosition="0">
        <references count="3">
          <reference field="5" count="1" selected="0">
            <x v="2"/>
          </reference>
          <reference field="6" count="1" selected="0">
            <x v="23"/>
          </reference>
          <reference field="8" count="1">
            <x v="0"/>
          </reference>
        </references>
      </pivotArea>
    </format>
    <format dxfId="25">
      <pivotArea dataOnly="0" labelOnly="1" outline="0" fieldPosition="0">
        <references count="3">
          <reference field="5" count="1" selected="0">
            <x v="3"/>
          </reference>
          <reference field="6" count="1" selected="0">
            <x v="30"/>
          </reference>
          <reference field="8" count="1">
            <x v="0"/>
          </reference>
        </references>
      </pivotArea>
    </format>
    <format dxfId="24">
      <pivotArea dataOnly="0" labelOnly="1" outline="0" fieldPosition="0">
        <references count="3">
          <reference field="5" count="1" selected="0">
            <x v="3"/>
          </reference>
          <reference field="6" count="1" selected="0">
            <x v="31"/>
          </reference>
          <reference field="8" count="1">
            <x v="11"/>
          </reference>
        </references>
      </pivotArea>
    </format>
    <format dxfId="23">
      <pivotArea dataOnly="0" labelOnly="1" outline="0" fieldPosition="0">
        <references count="3">
          <reference field="5" count="1" selected="0">
            <x v="4"/>
          </reference>
          <reference field="6" count="1" selected="0">
            <x v="26"/>
          </reference>
          <reference field="8" count="2">
            <x v="0"/>
            <x v="10"/>
          </reference>
        </references>
      </pivotArea>
    </format>
    <format dxfId="22">
      <pivotArea dataOnly="0" labelOnly="1" outline="0" fieldPosition="0">
        <references count="3">
          <reference field="5" count="1" selected="0">
            <x v="4"/>
          </reference>
          <reference field="6" count="1" selected="0">
            <x v="27"/>
          </reference>
          <reference field="8" count="1">
            <x v="0"/>
          </reference>
        </references>
      </pivotArea>
    </format>
    <format dxfId="21">
      <pivotArea dataOnly="0" labelOnly="1" outline="0" fieldPosition="0">
        <references count="3">
          <reference field="5" count="1" selected="0">
            <x v="4"/>
          </reference>
          <reference field="6" count="1" selected="0">
            <x v="28"/>
          </reference>
          <reference field="8" count="1">
            <x v="0"/>
          </reference>
        </references>
      </pivotArea>
    </format>
    <format dxfId="20">
      <pivotArea dataOnly="0" labelOnly="1" outline="0" fieldPosition="0">
        <references count="3">
          <reference field="5" count="1" selected="0">
            <x v="4"/>
          </reference>
          <reference field="6" count="1" selected="0">
            <x v="29"/>
          </reference>
          <reference field="8" count="1">
            <x v="2"/>
          </reference>
        </references>
      </pivotArea>
    </format>
    <format dxfId="19">
      <pivotArea dataOnly="0" labelOnly="1" outline="0" fieldPosition="0">
        <references count="3">
          <reference field="5" count="1" selected="0">
            <x v="5"/>
          </reference>
          <reference field="6" count="1" selected="0">
            <x v="35"/>
          </reference>
          <reference field="8" count="1">
            <x v="0"/>
          </reference>
        </references>
      </pivotArea>
    </format>
    <format dxfId="18">
      <pivotArea dataOnly="0" labelOnly="1" outline="0" fieldPosition="0">
        <references count="3">
          <reference field="5" count="1" selected="0">
            <x v="5"/>
          </reference>
          <reference field="6" count="1" selected="0">
            <x v="36"/>
          </reference>
          <reference field="8" count="1">
            <x v="0"/>
          </reference>
        </references>
      </pivotArea>
    </format>
    <format dxfId="17">
      <pivotArea dataOnly="0" labelOnly="1" outline="0" fieldPosition="0">
        <references count="3">
          <reference field="5" count="1" selected="0">
            <x v="6"/>
          </reference>
          <reference field="6" count="1" selected="0">
            <x v="24"/>
          </reference>
          <reference field="8" count="1">
            <x v="9"/>
          </reference>
        </references>
      </pivotArea>
    </format>
    <format dxfId="16">
      <pivotArea dataOnly="0" labelOnly="1" outline="0" fieldPosition="0">
        <references count="3">
          <reference field="5" count="1" selected="0">
            <x v="6"/>
          </reference>
          <reference field="6" count="1" selected="0">
            <x v="25"/>
          </reference>
          <reference field="8" count="1">
            <x v="0"/>
          </reference>
        </references>
      </pivotArea>
    </format>
    <format dxfId="15">
      <pivotArea dataOnly="0" labelOnly="1" outline="0" fieldPosition="0">
        <references count="3">
          <reference field="5" count="1" selected="0">
            <x v="7"/>
          </reference>
          <reference field="6" count="1" selected="0">
            <x v="15"/>
          </reference>
          <reference field="8" count="2">
            <x v="4"/>
            <x v="5"/>
          </reference>
        </references>
      </pivotArea>
    </format>
    <format dxfId="14">
      <pivotArea dataOnly="0" labelOnly="1" outline="0" fieldPosition="0">
        <references count="3">
          <reference field="5" count="1" selected="0">
            <x v="7"/>
          </reference>
          <reference field="6" count="1" selected="0">
            <x v="16"/>
          </reference>
          <reference field="8" count="1">
            <x v="6"/>
          </reference>
        </references>
      </pivotArea>
    </format>
    <format dxfId="13">
      <pivotArea dataOnly="0" labelOnly="1" outline="0" fieldPosition="0">
        <references count="3">
          <reference field="5" count="1" selected="0">
            <x v="8"/>
          </reference>
          <reference field="6" count="1" selected="0">
            <x v="39"/>
          </reference>
          <reference field="8" count="1">
            <x v="0"/>
          </reference>
        </references>
      </pivotArea>
    </format>
    <format dxfId="12">
      <pivotArea dataOnly="0" labelOnly="1" outline="0" fieldPosition="0">
        <references count="3">
          <reference field="5" count="1" selected="0">
            <x v="9"/>
          </reference>
          <reference field="6" count="1" selected="0">
            <x v="19"/>
          </reference>
          <reference field="8" count="2">
            <x v="0"/>
            <x v="7"/>
          </reference>
        </references>
      </pivotArea>
    </format>
    <format dxfId="11">
      <pivotArea dataOnly="0" labelOnly="1" outline="0" fieldPosition="0">
        <references count="3">
          <reference field="5" count="1" selected="0">
            <x v="9"/>
          </reference>
          <reference field="6" count="1" selected="0">
            <x v="20"/>
          </reference>
          <reference field="8" count="1">
            <x v="0"/>
          </reference>
        </references>
      </pivotArea>
    </format>
    <format dxfId="10">
      <pivotArea dataOnly="0" labelOnly="1" outline="0" fieldPosition="0">
        <references count="3">
          <reference field="5" count="1" selected="0">
            <x v="10"/>
          </reference>
          <reference field="6" count="1" selected="0">
            <x v="15"/>
          </reference>
          <reference field="8" count="1">
            <x v="0"/>
          </reference>
        </references>
      </pivotArea>
    </format>
    <format dxfId="9">
      <pivotArea dataOnly="0" labelOnly="1" outline="0" fieldPosition="0">
        <references count="3">
          <reference field="5" count="1" selected="0">
            <x v="11"/>
          </reference>
          <reference field="6" count="1" selected="0">
            <x v="17"/>
          </reference>
          <reference field="8" count="1">
            <x v="0"/>
          </reference>
        </references>
      </pivotArea>
    </format>
    <format dxfId="8">
      <pivotArea dataOnly="0" labelOnly="1" outline="0" fieldPosition="0">
        <references count="3">
          <reference field="5" count="1" selected="0">
            <x v="11"/>
          </reference>
          <reference field="6" count="1" selected="0">
            <x v="18"/>
          </reference>
          <reference field="8" count="1">
            <x v="0"/>
          </reference>
        </references>
      </pivotArea>
    </format>
    <format dxfId="7">
      <pivotArea dataOnly="0" labelOnly="1" outline="0" fieldPosition="0">
        <references count="3">
          <reference field="5" count="1" selected="0">
            <x v="12"/>
          </reference>
          <reference field="6" count="1" selected="0">
            <x v="12"/>
          </reference>
          <reference field="8" count="3">
            <x v="1"/>
            <x v="2"/>
            <x v="3"/>
          </reference>
        </references>
      </pivotArea>
    </format>
    <format dxfId="6">
      <pivotArea dataOnly="0" labelOnly="1" outline="0" fieldPosition="0">
        <references count="3">
          <reference field="5" count="1" selected="0">
            <x v="12"/>
          </reference>
          <reference field="6" count="1" selected="0">
            <x v="13"/>
          </reference>
          <reference field="8" count="1">
            <x v="0"/>
          </reference>
        </references>
      </pivotArea>
    </format>
    <format dxfId="5">
      <pivotArea dataOnly="0" labelOnly="1" outline="0" fieldPosition="0">
        <references count="3">
          <reference field="5" count="1" selected="0">
            <x v="12"/>
          </reference>
          <reference field="6" count="1" selected="0">
            <x v="14"/>
          </reference>
          <reference field="8" count="1">
            <x v="0"/>
          </reference>
        </references>
      </pivotArea>
    </format>
    <format dxfId="4">
      <pivotArea dataOnly="0" labelOnly="1" outline="0" fieldPosition="0">
        <references count="3">
          <reference field="5" count="1" selected="0">
            <x v="13"/>
          </reference>
          <reference field="6" count="1" selected="0">
            <x v="32"/>
          </reference>
          <reference field="8" count="1">
            <x v="0"/>
          </reference>
        </references>
      </pivotArea>
    </format>
    <format dxfId="3">
      <pivotArea dataOnly="0" labelOnly="1" outline="0" fieldPosition="0">
        <references count="3">
          <reference field="5" count="1" selected="0">
            <x v="13"/>
          </reference>
          <reference field="6" count="1" selected="0">
            <x v="33"/>
          </reference>
          <reference field="8" count="1">
            <x v="0"/>
          </reference>
        </references>
      </pivotArea>
    </format>
    <format dxfId="2">
      <pivotArea dataOnly="0" labelOnly="1" outline="0" fieldPosition="0">
        <references count="3">
          <reference field="5" count="1" selected="0">
            <x v="13"/>
          </reference>
          <reference field="6" count="1" selected="0">
            <x v="34"/>
          </reference>
          <reference field="8" count="1">
            <x v="8"/>
          </reference>
        </references>
      </pivotArea>
    </format>
    <format dxfId="1">
      <pivotArea dataOnly="0" labelOnly="1" outline="0" fieldPosition="0">
        <references count="1">
          <reference field="3" count="0"/>
        </references>
      </pivotArea>
    </format>
    <format dxfId="0">
      <pivotArea dataOnly="0" labelOnly="1" grandCol="1" outline="0" fieldPosition="0"/>
    </format>
  </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3" totalsRowShown="0" headerRowDxfId="147" dataDxfId="146">
  <autoFilter ref="A1:F23" xr:uid="{00000000-0009-0000-0100-000001000000}"/>
  <tableColumns count="6">
    <tableColumn id="1" xr3:uid="{00000000-0010-0000-0000-000001000000}" name="Product Code" dataDxfId="145"/>
    <tableColumn id="2" xr3:uid="{00000000-0010-0000-0000-000002000000}" name="Category" dataDxfId="144"/>
    <tableColumn id="3" xr3:uid="{00000000-0010-0000-0000-000003000000}" name="Product Name" dataDxfId="143"/>
    <tableColumn id="4" xr3:uid="{00000000-0010-0000-0000-000004000000}" name="Pricing Model" dataDxfId="142"/>
    <tableColumn id="6" xr3:uid="{00000000-0010-0000-0000-000006000000}" name="Related Products Code" dataDxfId="141"/>
    <tableColumn id="7" xr3:uid="{00000000-0010-0000-0000-000007000000}" name="Example" dataDxfId="140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E36" totalsRowShown="0" headerRowDxfId="139">
  <autoFilter ref="A1:E36" xr:uid="{00000000-0009-0000-0100-000002000000}"/>
  <tableColumns count="5">
    <tableColumn id="1" xr3:uid="{00000000-0010-0000-0100-000001000000}" name="Product Code"/>
    <tableColumn id="2" xr3:uid="{00000000-0010-0000-0100-000002000000}" name="Variant Code"/>
    <tableColumn id="5" xr3:uid="{00000000-0010-0000-0100-000005000000}" name="Product Name" dataDxfId="138">
      <calculatedColumnFormula>VLOOKUP(A2,Products!A:C,3,FALSE)</calculatedColumnFormula>
    </tableColumn>
    <tableColumn id="3" xr3:uid="{00000000-0010-0000-0100-000003000000}" name="Description"/>
    <tableColumn id="4" xr3:uid="{00000000-0010-0000-0100-000004000000}" name="Notes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16" totalsRowShown="0" headerRowDxfId="137">
  <autoFilter ref="A1:B16" xr:uid="{00000000-0009-0000-0100-000003000000}"/>
  <tableColumns count="2">
    <tableColumn id="1" xr3:uid="{00000000-0010-0000-0200-000001000000}" name="Vendor Code"/>
    <tableColumn id="2" xr3:uid="{00000000-0010-0000-0200-000002000000}" name="Vendor Name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J35" totalsRowShown="0" headerRowDxfId="159" dataDxfId="158">
  <autoFilter ref="A1:J35" xr:uid="{00000000-0009-0000-0100-000004000000}"/>
  <tableColumns count="10">
    <tableColumn id="1" xr3:uid="{00000000-0010-0000-0300-000001000000}" name="Product Code" dataDxfId="157"/>
    <tableColumn id="2" xr3:uid="{00000000-0010-0000-0300-000002000000}" name="Variant Code" dataDxfId="156"/>
    <tableColumn id="3" xr3:uid="{00000000-0010-0000-0300-000003000000}" name="Vendor Code" dataDxfId="155"/>
    <tableColumn id="13" xr3:uid="{00000000-0010-0000-0300-00000D000000}" name="Vendor Name" dataDxfId="154">
      <calculatedColumnFormula>IFERROR(VLOOKUP(C2, Vendors!A:B, 2, FALSE), "-")</calculatedColumnFormula>
    </tableColumn>
    <tableColumn id="8" xr3:uid="{00000000-0010-0000-0300-000008000000}" name="Year" dataDxfId="153"/>
    <tableColumn id="11" xr3:uid="{00000000-0010-0000-0300-00000B000000}" name="Product Name" dataDxfId="152">
      <calculatedColumnFormula>VLOOKUP(A2, Products!$A:$C, 3, FALSE)</calculatedColumnFormula>
    </tableColumn>
    <tableColumn id="12" xr3:uid="{00000000-0010-0000-0300-00000C000000}" name="Product Description" dataDxfId="151">
      <calculatedColumnFormula>_xlfn.XLOOKUP(B2, Table2[Variant Code], Table2[Description], "ไม่มีรายละเอียดย่อย")</calculatedColumnFormula>
    </tableColumn>
    <tableColumn id="4" xr3:uid="{00000000-0010-0000-0300-000004000000}" name="Price" dataDxfId="150"/>
    <tableColumn id="6" xr3:uid="{00000000-0010-0000-0300-000006000000}" name="Qty" dataDxfId="149"/>
    <tableColumn id="14" xr3:uid="{00000000-0010-0000-0300-00000E000000}" name="Notes" dataDxfId="148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tabSelected="1" zoomScale="141" zoomScaleNormal="150" workbookViewId="0">
      <selection activeCell="A5" sqref="A5:A9"/>
    </sheetView>
  </sheetViews>
  <sheetFormatPr baseColWidth="10" defaultColWidth="8.83203125" defaultRowHeight="15" x14ac:dyDescent="0.2"/>
  <cols>
    <col min="1" max="1" width="14" customWidth="1"/>
    <col min="2" max="2" width="11.6640625" bestFit="1" customWidth="1"/>
    <col min="3" max="3" width="25.6640625" bestFit="1" customWidth="1"/>
    <col min="4" max="4" width="14.5" bestFit="1" customWidth="1"/>
    <col min="5" max="5" width="21.33203125" bestFit="1" customWidth="1"/>
    <col min="6" max="6" width="16.33203125" customWidth="1"/>
  </cols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</row>
    <row r="2" spans="1:6" x14ac:dyDescent="0.2">
      <c r="A2" s="6" t="s">
        <v>6</v>
      </c>
      <c r="B2" s="6" t="s">
        <v>7</v>
      </c>
      <c r="C2" s="6" t="s">
        <v>8</v>
      </c>
      <c r="D2" s="6" t="s">
        <v>9</v>
      </c>
      <c r="E2" s="6"/>
      <c r="F2" s="6"/>
    </row>
    <row r="3" spans="1:6" x14ac:dyDescent="0.2">
      <c r="A3" s="6" t="s">
        <v>10</v>
      </c>
      <c r="B3" s="6" t="s">
        <v>7</v>
      </c>
      <c r="C3" s="6" t="s">
        <v>11</v>
      </c>
      <c r="D3" s="6" t="s">
        <v>9</v>
      </c>
      <c r="E3" s="6"/>
      <c r="F3" s="6"/>
    </row>
    <row r="4" spans="1:6" x14ac:dyDescent="0.2">
      <c r="A4" s="6" t="s">
        <v>12</v>
      </c>
      <c r="B4" s="6" t="s">
        <v>7</v>
      </c>
      <c r="C4" s="6" t="s">
        <v>13</v>
      </c>
      <c r="D4" s="6" t="s">
        <v>9</v>
      </c>
      <c r="E4" s="6"/>
      <c r="F4" s="6"/>
    </row>
    <row r="5" spans="1:6" x14ac:dyDescent="0.2">
      <c r="A5" s="6" t="s">
        <v>14</v>
      </c>
      <c r="B5" s="6" t="s">
        <v>7</v>
      </c>
      <c r="C5" s="6" t="s">
        <v>15</v>
      </c>
      <c r="D5" s="6" t="s">
        <v>9</v>
      </c>
      <c r="E5" s="6"/>
      <c r="F5" s="6"/>
    </row>
    <row r="6" spans="1:6" x14ac:dyDescent="0.2">
      <c r="A6" s="6" t="s">
        <v>16</v>
      </c>
      <c r="B6" s="6" t="s">
        <v>7</v>
      </c>
      <c r="C6" s="6" t="s">
        <v>17</v>
      </c>
      <c r="D6" s="6" t="s">
        <v>9</v>
      </c>
      <c r="E6" s="6"/>
      <c r="F6" s="6"/>
    </row>
    <row r="7" spans="1:6" x14ac:dyDescent="0.2">
      <c r="A7" s="6" t="s">
        <v>18</v>
      </c>
      <c r="B7" s="6" t="s">
        <v>7</v>
      </c>
      <c r="C7" s="6" t="s">
        <v>19</v>
      </c>
      <c r="D7" s="6" t="s">
        <v>9</v>
      </c>
      <c r="E7" s="6" t="s">
        <v>20</v>
      </c>
      <c r="F7" s="6"/>
    </row>
    <row r="8" spans="1:6" x14ac:dyDescent="0.2">
      <c r="A8" s="6" t="s">
        <v>20</v>
      </c>
      <c r="B8" s="6" t="s">
        <v>7</v>
      </c>
      <c r="C8" s="6" t="s">
        <v>21</v>
      </c>
      <c r="D8" s="6" t="s">
        <v>9</v>
      </c>
      <c r="E8" s="6"/>
      <c r="F8" s="6"/>
    </row>
    <row r="9" spans="1:6" x14ac:dyDescent="0.2">
      <c r="A9" s="6" t="s">
        <v>222</v>
      </c>
      <c r="B9" s="6" t="s">
        <v>22</v>
      </c>
      <c r="C9" s="6" t="s">
        <v>23</v>
      </c>
      <c r="D9" s="6" t="s">
        <v>9</v>
      </c>
      <c r="E9" s="6"/>
      <c r="F9" s="6"/>
    </row>
    <row r="10" spans="1:6" x14ac:dyDescent="0.2">
      <c r="A10" s="6" t="s">
        <v>24</v>
      </c>
      <c r="B10" s="6" t="s">
        <v>22</v>
      </c>
      <c r="C10" s="6" t="s">
        <v>25</v>
      </c>
      <c r="D10" s="6" t="s">
        <v>9</v>
      </c>
      <c r="E10" s="6"/>
      <c r="F10" s="6"/>
    </row>
    <row r="11" spans="1:6" x14ac:dyDescent="0.2">
      <c r="A11" s="6" t="s">
        <v>26</v>
      </c>
      <c r="B11" s="6" t="s">
        <v>22</v>
      </c>
      <c r="C11" s="6" t="s">
        <v>27</v>
      </c>
      <c r="D11" s="6" t="s">
        <v>9</v>
      </c>
      <c r="E11" s="6"/>
      <c r="F11" s="6"/>
    </row>
    <row r="12" spans="1:6" x14ac:dyDescent="0.2">
      <c r="A12" s="6" t="s">
        <v>28</v>
      </c>
      <c r="B12" s="6" t="s">
        <v>22</v>
      </c>
      <c r="C12" s="6" t="s">
        <v>29</v>
      </c>
      <c r="D12" s="6" t="s">
        <v>9</v>
      </c>
      <c r="E12" s="6"/>
      <c r="F12" s="6"/>
    </row>
    <row r="13" spans="1:6" x14ac:dyDescent="0.2">
      <c r="A13" s="6" t="s">
        <v>30</v>
      </c>
      <c r="B13" s="6" t="s">
        <v>22</v>
      </c>
      <c r="C13" s="6" t="s">
        <v>31</v>
      </c>
      <c r="D13" s="6" t="s">
        <v>9</v>
      </c>
      <c r="E13" s="6"/>
      <c r="F13" s="6"/>
    </row>
    <row r="14" spans="1:6" x14ac:dyDescent="0.2">
      <c r="A14" s="6" t="s">
        <v>32</v>
      </c>
      <c r="B14" s="6" t="s">
        <v>22</v>
      </c>
      <c r="C14" s="6" t="s">
        <v>33</v>
      </c>
      <c r="D14" s="6" t="s">
        <v>9</v>
      </c>
      <c r="E14" s="6"/>
      <c r="F14" s="6"/>
    </row>
    <row r="15" spans="1:6" x14ac:dyDescent="0.2">
      <c r="A15" s="6" t="s">
        <v>34</v>
      </c>
      <c r="B15" s="6" t="s">
        <v>35</v>
      </c>
      <c r="C15" s="6" t="s">
        <v>36</v>
      </c>
      <c r="D15" s="6" t="s">
        <v>9</v>
      </c>
      <c r="E15" s="6"/>
      <c r="F15" s="6"/>
    </row>
    <row r="16" spans="1:6" x14ac:dyDescent="0.2">
      <c r="A16" s="6" t="s">
        <v>37</v>
      </c>
      <c r="B16" s="6" t="s">
        <v>35</v>
      </c>
      <c r="C16" s="6" t="s">
        <v>38</v>
      </c>
      <c r="D16" s="6" t="s">
        <v>9</v>
      </c>
      <c r="E16" s="6"/>
      <c r="F16" s="6"/>
    </row>
    <row r="17" spans="1:6" x14ac:dyDescent="0.2">
      <c r="A17" s="6" t="s">
        <v>39</v>
      </c>
      <c r="B17" s="6" t="s">
        <v>35</v>
      </c>
      <c r="C17" s="6" t="s">
        <v>40</v>
      </c>
      <c r="D17" s="6" t="s">
        <v>9</v>
      </c>
      <c r="E17" s="6"/>
      <c r="F17" s="6"/>
    </row>
    <row r="18" spans="1:6" x14ac:dyDescent="0.2">
      <c r="A18" s="6" t="s">
        <v>41</v>
      </c>
      <c r="B18" s="6" t="s">
        <v>35</v>
      </c>
      <c r="C18" s="6" t="s">
        <v>42</v>
      </c>
      <c r="D18" s="6" t="s">
        <v>9</v>
      </c>
      <c r="E18" s="6"/>
      <c r="F18" s="6"/>
    </row>
    <row r="19" spans="1:6" x14ac:dyDescent="0.2">
      <c r="A19" s="6" t="s">
        <v>43</v>
      </c>
      <c r="B19" s="6" t="s">
        <v>44</v>
      </c>
      <c r="C19" s="6" t="s">
        <v>45</v>
      </c>
      <c r="D19" s="6" t="s">
        <v>9</v>
      </c>
      <c r="E19" s="6"/>
      <c r="F19" s="6"/>
    </row>
    <row r="20" spans="1:6" x14ac:dyDescent="0.2">
      <c r="A20" s="6" t="s">
        <v>46</v>
      </c>
      <c r="B20" s="6" t="s">
        <v>44</v>
      </c>
      <c r="C20" s="6" t="s">
        <v>47</v>
      </c>
      <c r="D20" s="6" t="s">
        <v>9</v>
      </c>
      <c r="E20" s="6"/>
      <c r="F20" s="6"/>
    </row>
    <row r="21" spans="1:6" x14ac:dyDescent="0.2">
      <c r="A21" s="6" t="s">
        <v>48</v>
      </c>
      <c r="B21" s="6" t="s">
        <v>44</v>
      </c>
      <c r="C21" s="6" t="s">
        <v>49</v>
      </c>
      <c r="D21" s="6" t="s">
        <v>9</v>
      </c>
      <c r="E21" s="6"/>
      <c r="F21" s="6"/>
    </row>
    <row r="22" spans="1:6" x14ac:dyDescent="0.2">
      <c r="A22" s="6" t="s">
        <v>50</v>
      </c>
      <c r="B22" s="6" t="s">
        <v>51</v>
      </c>
      <c r="C22" s="6" t="s">
        <v>52</v>
      </c>
      <c r="D22" s="6" t="s">
        <v>53</v>
      </c>
      <c r="E22" s="6"/>
      <c r="F22" s="6" t="s">
        <v>54</v>
      </c>
    </row>
    <row r="23" spans="1:6" x14ac:dyDescent="0.2">
      <c r="A23" s="6" t="s">
        <v>55</v>
      </c>
      <c r="B23" s="6" t="s">
        <v>51</v>
      </c>
      <c r="C23" s="6" t="s">
        <v>56</v>
      </c>
      <c r="D23" s="6" t="s">
        <v>53</v>
      </c>
      <c r="E23" s="6"/>
      <c r="F23" s="6"/>
    </row>
  </sheetData>
  <phoneticPr fontId="6" type="noConversion"/>
  <dataValidations count="2">
    <dataValidation type="list" allowBlank="1" showInputMessage="1" showErrorMessage="1" sqref="B2:B23" xr:uid="{00000000-0002-0000-0100-000001000000}">
      <formula1>"POSM(MKT),Printing(MKT),Garment,Premium,Printing-Rate"</formula1>
    </dataValidation>
    <dataValidation type="list" allowBlank="1" showInputMessage="1" showErrorMessage="1" sqref="E2:E23" xr:uid="{00000000-0002-0000-0100-000002000000}">
      <formula1>$A:$A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zoomScale="114" workbookViewId="0">
      <selection activeCell="D2" sqref="D2:D36"/>
    </sheetView>
  </sheetViews>
  <sheetFormatPr baseColWidth="10" defaultColWidth="8.83203125" defaultRowHeight="15" x14ac:dyDescent="0.2"/>
  <cols>
    <col min="1" max="1" width="16.6640625" bestFit="1" customWidth="1"/>
    <col min="2" max="2" width="16.1640625" bestFit="1" customWidth="1"/>
    <col min="3" max="3" width="19.33203125" bestFit="1" customWidth="1"/>
    <col min="4" max="4" width="36.83203125" bestFit="1" customWidth="1"/>
    <col min="5" max="5" width="55.83203125" customWidth="1"/>
  </cols>
  <sheetData>
    <row r="1" spans="1:7" x14ac:dyDescent="0.2">
      <c r="A1" s="1" t="s">
        <v>0</v>
      </c>
      <c r="B1" s="1" t="s">
        <v>57</v>
      </c>
      <c r="C1" s="8" t="s">
        <v>2</v>
      </c>
      <c r="D1" s="1" t="s">
        <v>58</v>
      </c>
      <c r="E1" s="1" t="s">
        <v>59</v>
      </c>
    </row>
    <row r="2" spans="1:7" x14ac:dyDescent="0.2">
      <c r="A2" t="s">
        <v>6</v>
      </c>
      <c r="B2" t="s">
        <v>60</v>
      </c>
      <c r="C2" t="str">
        <f>IFERROR(VLOOKUP(A2,Products!A:C,3,FALSE), "-")</f>
        <v>ร่มโค้ก</v>
      </c>
      <c r="D2" t="s">
        <v>61</v>
      </c>
      <c r="G2" t="str" cm="1">
        <f t="array" ref="G2">IFERROR(VLOOKUP(B2, Table2[Variant Code],Table2[Description],""), "-")</f>
        <v>-</v>
      </c>
    </row>
    <row r="3" spans="1:7" x14ac:dyDescent="0.2">
      <c r="A3" t="s">
        <v>6</v>
      </c>
      <c r="B3" t="s">
        <v>62</v>
      </c>
      <c r="C3" t="str">
        <f>IFERROR(VLOOKUP(A3,Products!A:C,3,FALSE), "-")</f>
        <v>ร่มโค้ก</v>
      </c>
      <c r="D3" t="s">
        <v>63</v>
      </c>
    </row>
    <row r="4" spans="1:7" x14ac:dyDescent="0.2">
      <c r="A4" t="s">
        <v>6</v>
      </c>
      <c r="B4" t="s">
        <v>64</v>
      </c>
      <c r="C4" t="str">
        <f>IFERROR(VLOOKUP(A4,Products!A:C,3,FALSE), "-")</f>
        <v>ร่มโค้ก</v>
      </c>
      <c r="D4" t="s">
        <v>65</v>
      </c>
    </row>
    <row r="5" spans="1:7" x14ac:dyDescent="0.2">
      <c r="A5" t="s">
        <v>6</v>
      </c>
      <c r="B5" t="s">
        <v>66</v>
      </c>
      <c r="C5" t="str">
        <f>IFERROR(VLOOKUP(A5,Products!A:C,3,FALSE), "-")</f>
        <v>ร่มโค้ก</v>
      </c>
      <c r="D5" t="s">
        <v>67</v>
      </c>
    </row>
    <row r="6" spans="1:7" x14ac:dyDescent="0.2">
      <c r="A6" t="s">
        <v>6</v>
      </c>
      <c r="B6" t="s">
        <v>68</v>
      </c>
      <c r="C6" t="str">
        <f>IFERROR(VLOOKUP(A6,Products!A:C,3,FALSE), "-")</f>
        <v>ร่มโค้ก</v>
      </c>
      <c r="D6" t="s">
        <v>69</v>
      </c>
    </row>
    <row r="7" spans="1:7" x14ac:dyDescent="0.2">
      <c r="A7" t="s">
        <v>6</v>
      </c>
      <c r="B7" t="s">
        <v>70</v>
      </c>
      <c r="C7" t="str">
        <f>IFERROR(VLOOKUP(A7,Products!A:C,3,FALSE), "-")</f>
        <v>ร่มโค้ก</v>
      </c>
      <c r="D7" t="s">
        <v>71</v>
      </c>
    </row>
    <row r="8" spans="1:7" x14ac:dyDescent="0.2">
      <c r="A8" t="s">
        <v>6</v>
      </c>
      <c r="B8" t="s">
        <v>72</v>
      </c>
      <c r="C8" t="str">
        <f>IFERROR(VLOOKUP(A8,Products!A:C,3,FALSE), "-")</f>
        <v>ร่มโค้ก</v>
      </c>
      <c r="D8" t="s">
        <v>73</v>
      </c>
    </row>
    <row r="9" spans="1:7" x14ac:dyDescent="0.2">
      <c r="A9" t="s">
        <v>6</v>
      </c>
      <c r="B9" t="s">
        <v>74</v>
      </c>
      <c r="C9" t="str">
        <f>IFERROR(VLOOKUP(A9,Products!A:C,3,FALSE), "-")</f>
        <v>ร่มโค้ก</v>
      </c>
      <c r="D9" t="s">
        <v>75</v>
      </c>
    </row>
    <row r="10" spans="1:7" x14ac:dyDescent="0.2">
      <c r="A10" t="s">
        <v>12</v>
      </c>
      <c r="B10" t="s">
        <v>76</v>
      </c>
      <c r="C10" t="str">
        <f>IFERROR(VLOOKUP(A10,Products!A:C,3,FALSE), "-")</f>
        <v>ผ้ากันเปื้อนโคคา-โคล่า</v>
      </c>
      <c r="D10" t="s">
        <v>77</v>
      </c>
    </row>
    <row r="11" spans="1:7" x14ac:dyDescent="0.2">
      <c r="A11" t="s">
        <v>12</v>
      </c>
      <c r="B11" t="s">
        <v>78</v>
      </c>
      <c r="C11" t="str">
        <f>IFERROR(VLOOKUP(A11,Products!A:C,3,FALSE), "-")</f>
        <v>ผ้ากันเปื้อนโคคา-โคล่า</v>
      </c>
      <c r="D11" t="s">
        <v>79</v>
      </c>
    </row>
    <row r="12" spans="1:7" x14ac:dyDescent="0.2">
      <c r="A12" t="s">
        <v>18</v>
      </c>
      <c r="B12" t="s">
        <v>80</v>
      </c>
      <c r="C12" t="str">
        <f>IFERROR(VLOOKUP(A12,Products!A:C,3,FALSE), "-")</f>
        <v>ธงปีกนก</v>
      </c>
      <c r="D12" t="s">
        <v>81</v>
      </c>
    </row>
    <row r="13" spans="1:7" x14ac:dyDescent="0.2">
      <c r="A13" t="s">
        <v>18</v>
      </c>
      <c r="B13" t="s">
        <v>82</v>
      </c>
      <c r="C13" t="str">
        <f>IFERROR(VLOOKUP(A13,Products!A:C,3,FALSE), "-")</f>
        <v>ธงปีกนก</v>
      </c>
      <c r="D13" t="s">
        <v>83</v>
      </c>
    </row>
    <row r="14" spans="1:7" x14ac:dyDescent="0.2">
      <c r="A14" t="s">
        <v>24</v>
      </c>
      <c r="B14" t="s">
        <v>84</v>
      </c>
      <c r="C14" t="str">
        <f>IFERROR(VLOOKUP(A14,Products!A:C,3,FALSE), "-")</f>
        <v>PP Board</v>
      </c>
      <c r="D14" t="s">
        <v>85</v>
      </c>
    </row>
    <row r="15" spans="1:7" x14ac:dyDescent="0.2">
      <c r="A15" t="s">
        <v>24</v>
      </c>
      <c r="B15" t="s">
        <v>86</v>
      </c>
      <c r="C15" t="str">
        <f>IFERROR(VLOOKUP(A15,Products!A:C,3,FALSE), "-")</f>
        <v>PP Board</v>
      </c>
      <c r="D15" t="s">
        <v>87</v>
      </c>
    </row>
    <row r="16" spans="1:7" x14ac:dyDescent="0.2">
      <c r="A16" t="s">
        <v>24</v>
      </c>
      <c r="B16" t="s">
        <v>88</v>
      </c>
      <c r="C16" t="str">
        <f>IFERROR(VLOOKUP(A16,Products!A:C,3,FALSE), "-")</f>
        <v>PP Board</v>
      </c>
      <c r="D16" t="s">
        <v>89</v>
      </c>
    </row>
    <row r="17" spans="1:4" x14ac:dyDescent="0.2">
      <c r="A17" t="s">
        <v>32</v>
      </c>
      <c r="B17" t="s">
        <v>90</v>
      </c>
      <c r="C17" t="str">
        <f>IFERROR(VLOOKUP(A17,Products!A:C,3,FALSE), "-")</f>
        <v>แผ่นริจิ-โค้ก</v>
      </c>
      <c r="D17" t="s">
        <v>91</v>
      </c>
    </row>
    <row r="18" spans="1:4" x14ac:dyDescent="0.2">
      <c r="A18" t="s">
        <v>32</v>
      </c>
      <c r="B18" t="s">
        <v>92</v>
      </c>
      <c r="C18" t="str">
        <f>IFERROR(VLOOKUP(A18,Products!A:C,3,FALSE), "-")</f>
        <v>แผ่นริจิ-โค้ก</v>
      </c>
      <c r="D18" t="s">
        <v>93</v>
      </c>
    </row>
    <row r="19" spans="1:4" x14ac:dyDescent="0.2">
      <c r="A19" t="s">
        <v>34</v>
      </c>
      <c r="B19" t="s">
        <v>94</v>
      </c>
      <c r="C19" t="str">
        <f>IFERROR(VLOOKUP(A19,Products!A:C,3,FALSE), "-")</f>
        <v>เสื้อยืด</v>
      </c>
      <c r="D19" t="s">
        <v>95</v>
      </c>
    </row>
    <row r="20" spans="1:4" x14ac:dyDescent="0.2">
      <c r="A20" t="s">
        <v>34</v>
      </c>
      <c r="B20" t="s">
        <v>96</v>
      </c>
      <c r="C20" t="str">
        <f>IFERROR(VLOOKUP(A20,Products!A:C,3,FALSE), "-")</f>
        <v>เสื้อยืด</v>
      </c>
      <c r="D20" t="s">
        <v>97</v>
      </c>
    </row>
    <row r="21" spans="1:4" x14ac:dyDescent="0.2">
      <c r="A21" t="s">
        <v>34</v>
      </c>
      <c r="B21" t="s">
        <v>98</v>
      </c>
      <c r="C21" t="str">
        <f>IFERROR(VLOOKUP(A21,Products!A:C,3,FALSE), "-")</f>
        <v>เสื้อยืด</v>
      </c>
      <c r="D21" t="s">
        <v>99</v>
      </c>
    </row>
    <row r="22" spans="1:4" x14ac:dyDescent="0.2">
      <c r="A22" t="s">
        <v>34</v>
      </c>
      <c r="B22" t="s">
        <v>100</v>
      </c>
      <c r="C22" t="str">
        <f>IFERROR(VLOOKUP(A22,Products!A:C,3,FALSE), "-")</f>
        <v>เสื้อยืด</v>
      </c>
      <c r="D22" t="s">
        <v>101</v>
      </c>
    </row>
    <row r="23" spans="1:4" x14ac:dyDescent="0.2">
      <c r="A23" t="s">
        <v>37</v>
      </c>
      <c r="B23" t="s">
        <v>102</v>
      </c>
      <c r="C23" t="str">
        <f>IFERROR(VLOOKUP(A23,Products!A:C,3,FALSE), "-")</f>
        <v>เสื้อโปโล TC</v>
      </c>
      <c r="D23" t="s">
        <v>103</v>
      </c>
    </row>
    <row r="24" spans="1:4" x14ac:dyDescent="0.2">
      <c r="A24" t="s">
        <v>37</v>
      </c>
      <c r="B24" t="s">
        <v>104</v>
      </c>
      <c r="C24" t="str">
        <f>IFERROR(VLOOKUP(A24,Products!A:C,3,FALSE), "-")</f>
        <v>เสื้อโปโล TC</v>
      </c>
      <c r="D24" t="s">
        <v>105</v>
      </c>
    </row>
    <row r="25" spans="1:4" x14ac:dyDescent="0.2">
      <c r="A25" t="s">
        <v>37</v>
      </c>
      <c r="B25" t="s">
        <v>106</v>
      </c>
      <c r="C25" t="str">
        <f>IFERROR(VLOOKUP(A25,Products!A:C,3,FALSE), "-")</f>
        <v>เสื้อโปโล TC</v>
      </c>
      <c r="D25" t="s">
        <v>107</v>
      </c>
    </row>
    <row r="26" spans="1:4" x14ac:dyDescent="0.2">
      <c r="A26" t="s">
        <v>37</v>
      </c>
      <c r="B26" t="s">
        <v>108</v>
      </c>
      <c r="C26" t="str">
        <f>IFERROR(VLOOKUP(A26,Products!A:C,3,FALSE), "-")</f>
        <v>เสื้อโปโล TC</v>
      </c>
      <c r="D26" t="s">
        <v>109</v>
      </c>
    </row>
    <row r="27" spans="1:4" x14ac:dyDescent="0.2">
      <c r="A27" t="s">
        <v>41</v>
      </c>
      <c r="B27" t="s">
        <v>110</v>
      </c>
      <c r="C27" t="str">
        <f>IFERROR(VLOOKUP(A27,Products!A:C,3,FALSE), "-")</f>
        <v>สกรีน</v>
      </c>
      <c r="D27" t="s">
        <v>111</v>
      </c>
    </row>
    <row r="28" spans="1:4" x14ac:dyDescent="0.2">
      <c r="A28" t="s">
        <v>41</v>
      </c>
      <c r="B28" t="s">
        <v>112</v>
      </c>
      <c r="C28" t="str">
        <f>IFERROR(VLOOKUP(A28,Products!A:C,3,FALSE), "-")</f>
        <v>สกรีน</v>
      </c>
      <c r="D28" t="s">
        <v>113</v>
      </c>
    </row>
    <row r="29" spans="1:4" x14ac:dyDescent="0.2">
      <c r="A29" t="s">
        <v>41</v>
      </c>
      <c r="B29" t="s">
        <v>114</v>
      </c>
      <c r="C29" t="str">
        <f>IFERROR(VLOOKUP(A29,Products!A:C,3,FALSE), "-")</f>
        <v>สกรีน</v>
      </c>
      <c r="D29" t="s">
        <v>115</v>
      </c>
    </row>
    <row r="30" spans="1:4" x14ac:dyDescent="0.2">
      <c r="A30" t="s">
        <v>41</v>
      </c>
      <c r="B30" t="s">
        <v>116</v>
      </c>
      <c r="C30" t="str">
        <f>IFERROR(VLOOKUP(A30,Products!A:C,3,FALSE), "-")</f>
        <v>สกรีน</v>
      </c>
      <c r="D30" t="s">
        <v>117</v>
      </c>
    </row>
    <row r="31" spans="1:4" x14ac:dyDescent="0.2">
      <c r="A31" t="s">
        <v>48</v>
      </c>
      <c r="B31" t="s">
        <v>118</v>
      </c>
      <c r="C31" t="str">
        <f>IFERROR(VLOOKUP(A31,Products!A:C,3,FALSE), "-")</f>
        <v>Bean Bag</v>
      </c>
      <c r="D31" t="s">
        <v>119</v>
      </c>
    </row>
    <row r="32" spans="1:4" x14ac:dyDescent="0.2">
      <c r="A32" t="s">
        <v>48</v>
      </c>
      <c r="B32" t="s">
        <v>120</v>
      </c>
      <c r="C32" t="str">
        <f>IFERROR(VLOOKUP(A32,Products!A:C,3,FALSE), "-")</f>
        <v>Bean Bag</v>
      </c>
      <c r="D32" t="s">
        <v>121</v>
      </c>
    </row>
    <row r="33" spans="1:4" x14ac:dyDescent="0.2">
      <c r="A33" t="s">
        <v>43</v>
      </c>
      <c r="B33" t="s">
        <v>122</v>
      </c>
      <c r="C33" t="str">
        <f>IFERROR(VLOOKUP(A33,Products!A:C,3,FALSE), "-")</f>
        <v>แก้วกระดาษ</v>
      </c>
      <c r="D33" t="s">
        <v>123</v>
      </c>
    </row>
    <row r="34" spans="1:4" x14ac:dyDescent="0.2">
      <c r="A34" t="s">
        <v>43</v>
      </c>
      <c r="B34" t="s">
        <v>124</v>
      </c>
      <c r="C34" t="str">
        <f>IFERROR(VLOOKUP(A34,Products!A:C,3,FALSE), "-")</f>
        <v>แก้วกระดาษ</v>
      </c>
      <c r="D34" t="s">
        <v>125</v>
      </c>
    </row>
    <row r="35" spans="1:4" x14ac:dyDescent="0.2">
      <c r="A35" t="s">
        <v>18</v>
      </c>
      <c r="B35" t="s">
        <v>126</v>
      </c>
      <c r="C35" t="str">
        <f>VLOOKUP(A35,Products!A:C,3,FALSE)</f>
        <v>ธงปีกนก</v>
      </c>
      <c r="D35" t="s">
        <v>127</v>
      </c>
    </row>
    <row r="36" spans="1:4" x14ac:dyDescent="0.2">
      <c r="A36" t="s">
        <v>20</v>
      </c>
      <c r="B36" t="s">
        <v>128</v>
      </c>
      <c r="C36" t="str">
        <f>VLOOKUP(A36,Products!A:C,3,FALSE)</f>
        <v>ฐานน้ำ</v>
      </c>
      <c r="D36" t="s">
        <v>129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AA8F63-9B8A-47E1-8518-37392EAA2336}">
          <x14:formula1>
            <xm:f>Products!$A:$A</xm:f>
          </x14:formula1>
          <xm:sqref>A2:A36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>
      <selection activeCell="J15" sqref="J15"/>
    </sheetView>
  </sheetViews>
  <sheetFormatPr baseColWidth="10" defaultColWidth="8.83203125" defaultRowHeight="15" x14ac:dyDescent="0.2"/>
  <cols>
    <col min="1" max="1" width="16.33203125" bestFit="1" customWidth="1"/>
    <col min="2" max="2" width="16.83203125" bestFit="1" customWidth="1"/>
  </cols>
  <sheetData>
    <row r="1" spans="1:2" x14ac:dyDescent="0.2">
      <c r="A1" s="2" t="s">
        <v>130</v>
      </c>
      <c r="B1" s="2" t="s">
        <v>131</v>
      </c>
    </row>
    <row r="2" spans="1:2" x14ac:dyDescent="0.2">
      <c r="A2" t="s">
        <v>132</v>
      </c>
      <c r="B2" t="s">
        <v>133</v>
      </c>
    </row>
    <row r="3" spans="1:2" x14ac:dyDescent="0.2">
      <c r="A3" t="s">
        <v>134</v>
      </c>
      <c r="B3" t="s">
        <v>135</v>
      </c>
    </row>
    <row r="4" spans="1:2" x14ac:dyDescent="0.2">
      <c r="A4" t="s">
        <v>136</v>
      </c>
      <c r="B4" t="s">
        <v>137</v>
      </c>
    </row>
    <row r="5" spans="1:2" x14ac:dyDescent="0.2">
      <c r="A5" t="s">
        <v>138</v>
      </c>
      <c r="B5" t="s">
        <v>139</v>
      </c>
    </row>
    <row r="6" spans="1:2" x14ac:dyDescent="0.2">
      <c r="A6" t="s">
        <v>140</v>
      </c>
      <c r="B6" t="s">
        <v>141</v>
      </c>
    </row>
    <row r="7" spans="1:2" x14ac:dyDescent="0.2">
      <c r="A7" t="s">
        <v>142</v>
      </c>
      <c r="B7" t="s">
        <v>143</v>
      </c>
    </row>
    <row r="8" spans="1:2" x14ac:dyDescent="0.2">
      <c r="A8" t="s">
        <v>144</v>
      </c>
      <c r="B8" t="s">
        <v>145</v>
      </c>
    </row>
    <row r="9" spans="1:2" x14ac:dyDescent="0.2">
      <c r="A9" t="s">
        <v>146</v>
      </c>
      <c r="B9" t="s">
        <v>147</v>
      </c>
    </row>
    <row r="10" spans="1:2" x14ac:dyDescent="0.2">
      <c r="A10" t="s">
        <v>148</v>
      </c>
      <c r="B10" t="s">
        <v>149</v>
      </c>
    </row>
    <row r="11" spans="1:2" x14ac:dyDescent="0.2">
      <c r="A11" t="s">
        <v>150</v>
      </c>
      <c r="B11" t="s">
        <v>151</v>
      </c>
    </row>
    <row r="12" spans="1:2" x14ac:dyDescent="0.2">
      <c r="A12" t="s">
        <v>152</v>
      </c>
      <c r="B12" t="s">
        <v>153</v>
      </c>
    </row>
    <row r="13" spans="1:2" x14ac:dyDescent="0.2">
      <c r="A13" t="s">
        <v>154</v>
      </c>
      <c r="B13" t="s">
        <v>155</v>
      </c>
    </row>
    <row r="14" spans="1:2" x14ac:dyDescent="0.2">
      <c r="A14" t="s">
        <v>156</v>
      </c>
      <c r="B14" t="s">
        <v>157</v>
      </c>
    </row>
    <row r="15" spans="1:2" x14ac:dyDescent="0.2">
      <c r="A15" t="s">
        <v>158</v>
      </c>
      <c r="B15" t="s">
        <v>159</v>
      </c>
    </row>
    <row r="16" spans="1:2" x14ac:dyDescent="0.2">
      <c r="A16" t="s">
        <v>160</v>
      </c>
      <c r="B16" t="s">
        <v>161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5"/>
  <sheetViews>
    <sheetView topLeftCell="C1" workbookViewId="0">
      <selection activeCell="G7" sqref="G7:G9"/>
    </sheetView>
  </sheetViews>
  <sheetFormatPr baseColWidth="10" defaultColWidth="8.83203125" defaultRowHeight="15" x14ac:dyDescent="0.2"/>
  <cols>
    <col min="1" max="1" width="16.6640625" bestFit="1" customWidth="1"/>
    <col min="2" max="2" width="16.1640625" bestFit="1" customWidth="1"/>
    <col min="3" max="3" width="16.33203125" bestFit="1" customWidth="1"/>
    <col min="4" max="4" width="16.83203125" bestFit="1" customWidth="1"/>
    <col min="5" max="5" width="9.6640625" bestFit="1" customWidth="1"/>
    <col min="6" max="6" width="19.33203125" bestFit="1" customWidth="1"/>
    <col min="7" max="7" width="35.33203125" bestFit="1" customWidth="1"/>
    <col min="8" max="8" width="13.5" bestFit="1" customWidth="1"/>
    <col min="9" max="9" width="11.5" bestFit="1" customWidth="1"/>
    <col min="10" max="10" width="10.6640625" bestFit="1" customWidth="1"/>
    <col min="11" max="11" width="12" customWidth="1"/>
    <col min="12" max="12" width="25" customWidth="1"/>
    <col min="13" max="13" width="30" customWidth="1"/>
  </cols>
  <sheetData>
    <row r="1" spans="1:10" x14ac:dyDescent="0.2">
      <c r="A1" s="3" t="s">
        <v>0</v>
      </c>
      <c r="B1" s="3" t="s">
        <v>57</v>
      </c>
      <c r="C1" s="3" t="s">
        <v>130</v>
      </c>
      <c r="D1" s="3" t="s">
        <v>131</v>
      </c>
      <c r="E1" s="3" t="s">
        <v>162</v>
      </c>
      <c r="F1" s="3" t="s">
        <v>2</v>
      </c>
      <c r="G1" s="7" t="s">
        <v>163</v>
      </c>
      <c r="H1" s="3" t="s">
        <v>164</v>
      </c>
      <c r="I1" s="3" t="s">
        <v>165</v>
      </c>
      <c r="J1" s="3" t="s">
        <v>59</v>
      </c>
    </row>
    <row r="2" spans="1:10" x14ac:dyDescent="0.2">
      <c r="A2" s="6" t="s">
        <v>6</v>
      </c>
      <c r="B2" s="6" t="s">
        <v>60</v>
      </c>
      <c r="C2" s="6" t="s">
        <v>132</v>
      </c>
      <c r="D2" s="6" t="str">
        <f>IFERROR(VLOOKUP(C2, Vendors!A:B, 2, FALSE), "-")</f>
        <v>Vendor A</v>
      </c>
      <c r="E2" s="6">
        <v>2026</v>
      </c>
      <c r="F2" s="6" t="str">
        <f>IFERROR(VLOOKUP(A2, Products!$A:$C, 3, FALSE), "-")</f>
        <v>ร่มโค้ก</v>
      </c>
      <c r="G2" s="6" t="str">
        <f>_xlfn.XLOOKUP(B2, Table2[Variant Code], Table2[Description], "ไม่มีรายละเอียดย่อย")</f>
        <v>36 นิ้ว โครงเหล็ก สีตาย (ไม่เกิน 4 สี)</v>
      </c>
      <c r="H2" s="9">
        <v>523</v>
      </c>
      <c r="I2" s="6" t="s">
        <v>166</v>
      </c>
      <c r="J2" s="6"/>
    </row>
    <row r="3" spans="1:10" x14ac:dyDescent="0.2">
      <c r="A3" s="6" t="s">
        <v>6</v>
      </c>
      <c r="B3" s="6" t="s">
        <v>60</v>
      </c>
      <c r="C3" s="6" t="s">
        <v>134</v>
      </c>
      <c r="D3" s="6" t="str">
        <f>IFERROR(VLOOKUP(C3, Vendors!A:B, 2, FALSE), "-")</f>
        <v>Vendor B</v>
      </c>
      <c r="E3" s="6">
        <v>2026</v>
      </c>
      <c r="F3" s="6" t="str">
        <f>IFERROR(VLOOKUP(A3, Products!$A:$C, 3, FALSE), "-")</f>
        <v>ร่มโค้ก</v>
      </c>
      <c r="G3" s="6" t="str">
        <f>_xlfn.XLOOKUP(B3, Table2[Variant Code], Table2[Description], "ไม่มีรายละเอียดย่อย")</f>
        <v>36 นิ้ว โครงเหล็ก สีตาย (ไม่เกิน 4 สี)</v>
      </c>
      <c r="H3" s="9">
        <v>565</v>
      </c>
      <c r="I3" s="6" t="s">
        <v>167</v>
      </c>
      <c r="J3" s="6"/>
    </row>
    <row r="4" spans="1:10" x14ac:dyDescent="0.2">
      <c r="A4" s="6" t="s">
        <v>6</v>
      </c>
      <c r="B4" s="6" t="s">
        <v>60</v>
      </c>
      <c r="C4" s="6" t="s">
        <v>136</v>
      </c>
      <c r="D4" s="6" t="str">
        <f>IFERROR(VLOOKUP(C4, Vendors!A:B, 2, FALSE), "-")</f>
        <v>Vendor C</v>
      </c>
      <c r="E4" s="6">
        <v>2026</v>
      </c>
      <c r="F4" s="6" t="str">
        <f>IFERROR(VLOOKUP(A4, Products!$A:$C, 3, FALSE), "-")</f>
        <v>ร่มโค้ก</v>
      </c>
      <c r="G4" s="6" t="str">
        <f>_xlfn.XLOOKUP(B4, Table2[Variant Code], Table2[Description], "ไม่มีรายละเอียดย่อย")</f>
        <v>36 นิ้ว โครงเหล็ก สีตาย (ไม่เกิน 4 สี)</v>
      </c>
      <c r="H4" s="9">
        <v>480</v>
      </c>
      <c r="I4" s="6" t="s">
        <v>168</v>
      </c>
      <c r="J4" s="6"/>
    </row>
    <row r="5" spans="1:10" x14ac:dyDescent="0.2">
      <c r="A5" s="6" t="s">
        <v>6</v>
      </c>
      <c r="B5" s="6" t="s">
        <v>62</v>
      </c>
      <c r="C5" s="6" t="s">
        <v>132</v>
      </c>
      <c r="D5" s="6" t="str">
        <f>IFERROR(VLOOKUP(C5, Vendors!A:B, 2, FALSE), "-")</f>
        <v>Vendor A</v>
      </c>
      <c r="E5" s="6">
        <v>2026</v>
      </c>
      <c r="F5" s="6" t="str">
        <f>IFERROR(VLOOKUP(A5, Products!$A:$C, 3, FALSE), "-")</f>
        <v>ร่มโค้ก</v>
      </c>
      <c r="G5" s="6" t="str">
        <f>_xlfn.XLOOKUP(B5, Table2[Variant Code], Table2[Description], "ไม่มีรายละเอียดย่อย")</f>
        <v>36 นิ้ว โครงเหล็ก ไล่ระดับสี (ไม่เกิน 8 เฉด)</v>
      </c>
      <c r="H5" s="9">
        <v>528</v>
      </c>
      <c r="I5" s="6">
        <v>1</v>
      </c>
      <c r="J5" s="6"/>
    </row>
    <row r="6" spans="1:10" x14ac:dyDescent="0.2">
      <c r="A6" s="6" t="s">
        <v>6</v>
      </c>
      <c r="B6" s="6" t="s">
        <v>64</v>
      </c>
      <c r="C6" s="6" t="s">
        <v>132</v>
      </c>
      <c r="D6" s="6" t="str">
        <f>IFERROR(VLOOKUP(C6, Vendors!A:B, 2, FALSE), "-")</f>
        <v>Vendor A</v>
      </c>
      <c r="E6" s="6">
        <v>2026</v>
      </c>
      <c r="F6" s="6" t="str">
        <f>IFERROR(VLOOKUP(A6, Products!$A:$C, 3, FALSE), "-")</f>
        <v>ร่มโค้ก</v>
      </c>
      <c r="G6" s="6" t="str">
        <f>_xlfn.XLOOKUP(B6, Table2[Variant Code], Table2[Description], "ไม่มีรายละเอียดย่อย")</f>
        <v>36 นิ้ว โครงไฟเบอร์ สีตาย (ไม่เกิน 4 สี)</v>
      </c>
      <c r="H6" s="9">
        <v>523</v>
      </c>
      <c r="I6" s="6">
        <v>1</v>
      </c>
      <c r="J6" s="6"/>
    </row>
    <row r="7" spans="1:10" x14ac:dyDescent="0.2">
      <c r="A7" s="6" t="s">
        <v>10</v>
      </c>
      <c r="B7" s="6"/>
      <c r="C7" s="6" t="s">
        <v>136</v>
      </c>
      <c r="D7" s="6" t="str">
        <f>IFERROR(VLOOKUP(C7, Vendors!A:B, 2, FALSE), "-")</f>
        <v>Vendor C</v>
      </c>
      <c r="E7" s="6">
        <v>2026</v>
      </c>
      <c r="F7" s="6" t="str">
        <f>IFERROR(VLOOKUP(A7, Products!$A:$C, 3, FALSE), "-")</f>
        <v>กล่องทิชชู-โค้ก</v>
      </c>
      <c r="G7" s="6" t="str">
        <f>_xlfn.XLOOKUP(B7, Table2[Variant Code], Table2[Description], "ไม่มีรายละเอียดย่อย")</f>
        <v>ไม่มีรายละเอียดย่อย</v>
      </c>
      <c r="H7" s="9">
        <v>28.5</v>
      </c>
      <c r="I7" s="6" t="s">
        <v>169</v>
      </c>
      <c r="J7" s="6"/>
    </row>
    <row r="8" spans="1:10" x14ac:dyDescent="0.2">
      <c r="A8" s="6" t="s">
        <v>10</v>
      </c>
      <c r="B8" s="6"/>
      <c r="C8" s="6" t="s">
        <v>138</v>
      </c>
      <c r="D8" s="6" t="str">
        <f>IFERROR(VLOOKUP(C8, Vendors!A:B, 2, FALSE), "-")</f>
        <v>Vendor D</v>
      </c>
      <c r="E8" s="6">
        <v>2026</v>
      </c>
      <c r="F8" s="6" t="str">
        <f>IFERROR(VLOOKUP(A8, Products!$A:$C, 3, FALSE), "-")</f>
        <v>กล่องทิชชู-โค้ก</v>
      </c>
      <c r="G8" s="6" t="str">
        <f>_xlfn.XLOOKUP(B8, Table2[Variant Code], Table2[Description], "ไม่มีรายละเอียดย่อย")</f>
        <v>ไม่มีรายละเอียดย่อย</v>
      </c>
      <c r="H8" s="9">
        <v>30</v>
      </c>
      <c r="I8" s="6" t="s">
        <v>170</v>
      </c>
      <c r="J8" s="6"/>
    </row>
    <row r="9" spans="1:10" x14ac:dyDescent="0.2">
      <c r="A9" s="6" t="s">
        <v>10</v>
      </c>
      <c r="B9" s="6"/>
      <c r="C9" s="6" t="s">
        <v>140</v>
      </c>
      <c r="D9" s="6" t="str">
        <f>IFERROR(VLOOKUP(C9, Vendors!A:B, 2, FALSE), "-")</f>
        <v>Vendor E</v>
      </c>
      <c r="E9" s="6">
        <v>2026</v>
      </c>
      <c r="F9" s="6" t="str">
        <f>IFERROR(VLOOKUP(A9, Products!$A:$C, 3, FALSE), "-")</f>
        <v>กล่องทิชชู-โค้ก</v>
      </c>
      <c r="G9" s="6" t="str">
        <f>_xlfn.XLOOKUP(B9, Table2[Variant Code], Table2[Description], "ไม่มีรายละเอียดย่อย")</f>
        <v>ไม่มีรายละเอียดย่อย</v>
      </c>
      <c r="H9" s="9">
        <v>25</v>
      </c>
      <c r="I9" s="6" t="s">
        <v>171</v>
      </c>
      <c r="J9" s="6"/>
    </row>
    <row r="10" spans="1:10" x14ac:dyDescent="0.2">
      <c r="A10" s="6" t="s">
        <v>12</v>
      </c>
      <c r="B10" s="6" t="s">
        <v>76</v>
      </c>
      <c r="C10" s="6" t="s">
        <v>140</v>
      </c>
      <c r="D10" s="6" t="str">
        <f>IFERROR(VLOOKUP(C10, Vendors!A:B, 2, FALSE), "-")</f>
        <v>Vendor E</v>
      </c>
      <c r="E10" s="6">
        <v>2026</v>
      </c>
      <c r="F10" s="6" t="str">
        <f>IFERROR(VLOOKUP(A10, Products!$A:$C, 3, FALSE), "-")</f>
        <v>ผ้ากันเปื้อนโคคา-โคล่า</v>
      </c>
      <c r="G10" s="6" t="str">
        <f>_xlfn.XLOOKUP(B10, Table2[Variant Code], Table2[Description], "ไม่มีรายละเอียดย่อย")</f>
        <v>เอี้ยม (เต็มตัว) ไขว้หลัง</v>
      </c>
      <c r="H10" s="9">
        <v>65</v>
      </c>
      <c r="I10" s="6">
        <v>1</v>
      </c>
      <c r="J10" s="6"/>
    </row>
    <row r="11" spans="1:10" x14ac:dyDescent="0.2">
      <c r="A11" s="6" t="s">
        <v>12</v>
      </c>
      <c r="B11" s="6" t="s">
        <v>78</v>
      </c>
      <c r="C11" s="6" t="s">
        <v>140</v>
      </c>
      <c r="D11" s="6" t="str">
        <f>IFERROR(VLOOKUP(C11, Vendors!A:B, 2, FALSE), "-")</f>
        <v>Vendor E</v>
      </c>
      <c r="E11" s="6">
        <v>2026</v>
      </c>
      <c r="F11" s="6" t="str">
        <f>IFERROR(VLOOKUP(A11, Products!$A:$C, 3, FALSE), "-")</f>
        <v>ผ้ากันเปื้อนโคคา-โคล่า</v>
      </c>
      <c r="G11" s="6" t="str">
        <f>_xlfn.XLOOKUP(B11, Table2[Variant Code], Table2[Description], "ไม่มีรายละเอียดย่อย")</f>
        <v>ครึ่งตัว</v>
      </c>
      <c r="H11" s="9">
        <v>55</v>
      </c>
      <c r="I11" s="6">
        <v>1</v>
      </c>
      <c r="J11" s="6"/>
    </row>
    <row r="12" spans="1:10" x14ac:dyDescent="0.2">
      <c r="A12" s="6" t="s">
        <v>18</v>
      </c>
      <c r="B12" s="6" t="s">
        <v>80</v>
      </c>
      <c r="C12" s="6" t="s">
        <v>158</v>
      </c>
      <c r="D12" s="6" t="str">
        <f>IFERROR(VLOOKUP(C12, Vendors!A:B, 2, FALSE), "-")</f>
        <v>Vendor N</v>
      </c>
      <c r="E12" s="6">
        <v>2026</v>
      </c>
      <c r="F12" s="6" t="str">
        <f>IFERROR(VLOOKUP(A12, Products!$A:$C, 3, FALSE), "-")</f>
        <v>ธงปีกนก</v>
      </c>
      <c r="G12" s="6" t="str">
        <f>_xlfn.XLOOKUP(B12, Table2[Variant Code], Table2[Description], "ไม่มีรายละเอียดย่อย")</f>
        <v>120x40x150 cm (TT-DSD)</v>
      </c>
      <c r="H12" s="9">
        <v>3500</v>
      </c>
      <c r="I12" s="6" t="s">
        <v>172</v>
      </c>
      <c r="J12" s="6"/>
    </row>
    <row r="13" spans="1:10" x14ac:dyDescent="0.2">
      <c r="A13" s="6" t="s">
        <v>18</v>
      </c>
      <c r="B13" s="6" t="s">
        <v>82</v>
      </c>
      <c r="C13" s="6" t="s">
        <v>158</v>
      </c>
      <c r="D13" s="6" t="str">
        <f>IFERROR(VLOOKUP(C13, Vendors!A:B, 2, FALSE), "-")</f>
        <v>Vendor N</v>
      </c>
      <c r="E13" s="6">
        <v>2026</v>
      </c>
      <c r="F13" s="6" t="str">
        <f>IFERROR(VLOOKUP(A13, Products!$A:$C, 3, FALSE), "-")</f>
        <v>ธงปีกนก</v>
      </c>
      <c r="G13" s="6" t="str">
        <f>_xlfn.XLOOKUP(B13, Table2[Variant Code], Table2[Description], "ไม่มีรายละเอียดย่อย")</f>
        <v>150x60x150 cm (WS)</v>
      </c>
      <c r="H13" s="9">
        <v>3700</v>
      </c>
      <c r="I13" s="6">
        <v>1</v>
      </c>
      <c r="J13" s="6"/>
    </row>
    <row r="14" spans="1:10" x14ac:dyDescent="0.2">
      <c r="A14" s="6" t="s">
        <v>24</v>
      </c>
      <c r="B14" s="6" t="s">
        <v>84</v>
      </c>
      <c r="C14" s="6" t="s">
        <v>142</v>
      </c>
      <c r="D14" s="6" t="str">
        <f>IFERROR(VLOOKUP(C14, Vendors!A:B, 2, FALSE), "-")</f>
        <v>Vendor F</v>
      </c>
      <c r="E14" s="6">
        <v>2026</v>
      </c>
      <c r="F14" s="6" t="str">
        <f>IFERROR(VLOOKUP(A14, Products!$A:$C, 3, FALSE), "-")</f>
        <v>PP Board</v>
      </c>
      <c r="G14" s="6" t="str">
        <f>_xlfn.XLOOKUP(B14, Table2[Variant Code], Table2[Description], "ไม่มีรายละเอียดย่อย")</f>
        <v>120x120 cm (โค้กเขียนชื่อร้านค้า)</v>
      </c>
      <c r="H14" s="9">
        <v>580</v>
      </c>
      <c r="I14" s="6">
        <v>1</v>
      </c>
      <c r="J14" s="6"/>
    </row>
    <row r="15" spans="1:10" x14ac:dyDescent="0.2">
      <c r="A15" s="6" t="s">
        <v>24</v>
      </c>
      <c r="B15" s="6" t="s">
        <v>86</v>
      </c>
      <c r="C15" s="6" t="s">
        <v>142</v>
      </c>
      <c r="D15" s="6" t="str">
        <f>IFERROR(VLOOKUP(C15, Vendors!A:B, 2, FALSE), "-")</f>
        <v>Vendor F</v>
      </c>
      <c r="E15" s="6">
        <v>2026</v>
      </c>
      <c r="F15" s="6" t="str">
        <f>IFERROR(VLOOKUP(A15, Products!$A:$C, 3, FALSE), "-")</f>
        <v>PP Board</v>
      </c>
      <c r="G15" s="6" t="str">
        <f>_xlfn.XLOOKUP(B15, Table2[Variant Code], Table2[Description], "ไม่มีรายละเอียดย่อย")</f>
        <v>85x190 cm (ป้ายหน้าเคาน์เตอร์)</v>
      </c>
      <c r="H15" s="9">
        <v>450</v>
      </c>
      <c r="I15" s="6" t="s">
        <v>173</v>
      </c>
      <c r="J15" s="6"/>
    </row>
    <row r="16" spans="1:10" x14ac:dyDescent="0.2">
      <c r="A16" s="6" t="s">
        <v>24</v>
      </c>
      <c r="B16" s="6" t="s">
        <v>88</v>
      </c>
      <c r="C16" s="6" t="s">
        <v>142</v>
      </c>
      <c r="D16" s="6" t="str">
        <f>IFERROR(VLOOKUP(C16, Vendors!A:B, 2, FALSE), "-")</f>
        <v>Vendor F</v>
      </c>
      <c r="E16" s="6">
        <v>2026</v>
      </c>
      <c r="F16" s="6" t="str">
        <f>IFERROR(VLOOKUP(A16, Products!$A:$C, 3, FALSE), "-")</f>
        <v>PP Board</v>
      </c>
      <c r="G16" s="6" t="str">
        <f>_xlfn.XLOOKUP(B16, Table2[Variant Code], Table2[Description], "ไม่มีรายละเอียดย่อย")</f>
        <v>70x150 cm (ป้ายหน้าเคาน์เตอร์)</v>
      </c>
      <c r="H16" s="9">
        <v>350</v>
      </c>
      <c r="I16" s="6">
        <v>1</v>
      </c>
      <c r="J16" s="6"/>
    </row>
    <row r="17" spans="1:10" x14ac:dyDescent="0.2">
      <c r="A17" s="6" t="s">
        <v>26</v>
      </c>
      <c r="B17" s="6"/>
      <c r="C17" s="6" t="s">
        <v>144</v>
      </c>
      <c r="D17" s="6" t="str">
        <f>IFERROR(VLOOKUP(C17, Vendors!A:B, 2, FALSE), "-")</f>
        <v>Vendor G</v>
      </c>
      <c r="E17" s="6">
        <v>2026</v>
      </c>
      <c r="F17" s="6" t="str">
        <f>IFERROR(VLOOKUP(A17, Products!$A:$C, 3, FALSE), "-")</f>
        <v>ป้ายรายการอาหารโค้ก</v>
      </c>
      <c r="G17" s="6" t="str">
        <f>_xlfn.XLOOKUP(B17, Table2[Variant Code], Table2[Description], "ไม่มีรายละเอียดย่อย")</f>
        <v>ไม่มีรายละเอียดย่อย</v>
      </c>
      <c r="H17" s="9">
        <v>350</v>
      </c>
      <c r="I17" s="6">
        <v>1</v>
      </c>
      <c r="J17" s="6"/>
    </row>
    <row r="18" spans="1:10" x14ac:dyDescent="0.2">
      <c r="A18" s="6" t="s">
        <v>32</v>
      </c>
      <c r="B18" s="6" t="s">
        <v>90</v>
      </c>
      <c r="C18" s="6" t="s">
        <v>146</v>
      </c>
      <c r="D18" s="6" t="str">
        <f>IFERROR(VLOOKUP(C18, Vendors!A:B, 2, FALSE), "-")</f>
        <v>Vendor H</v>
      </c>
      <c r="E18" s="6">
        <v>2026</v>
      </c>
      <c r="F18" s="6" t="str">
        <f>IFERROR(VLOOKUP(A18, Products!$A:$C, 3, FALSE), "-")</f>
        <v>แผ่นริจิ-โค้ก</v>
      </c>
      <c r="G18" s="6" t="str">
        <f>_xlfn.XLOOKUP(B18, Table2[Variant Code], Table2[Description], "ไม่มีรายละเอียดย่อย")</f>
        <v>16x24 นิ้ว</v>
      </c>
      <c r="H18" s="9">
        <v>45</v>
      </c>
      <c r="I18" s="6" t="s">
        <v>174</v>
      </c>
      <c r="J18" s="6"/>
    </row>
    <row r="19" spans="1:10" x14ac:dyDescent="0.2">
      <c r="A19" s="6" t="s">
        <v>32</v>
      </c>
      <c r="B19" s="6" t="s">
        <v>92</v>
      </c>
      <c r="C19" s="6" t="s">
        <v>146</v>
      </c>
      <c r="D19" s="6" t="str">
        <f>IFERROR(VLOOKUP(C19, Vendors!A:B, 2, FALSE), "-")</f>
        <v>Vendor H</v>
      </c>
      <c r="E19" s="6">
        <v>2026</v>
      </c>
      <c r="F19" s="6" t="str">
        <f>IFERROR(VLOOKUP(A19, Products!$A:$C, 3, FALSE), "-")</f>
        <v>แผ่นริจิ-โค้ก</v>
      </c>
      <c r="G19" s="6" t="str">
        <f>_xlfn.XLOOKUP(B19, Table2[Variant Code], Table2[Description], "ไม่มีรายละเอียดย่อย")</f>
        <v>24x32 นิ้ว</v>
      </c>
      <c r="H19" s="9">
        <v>60</v>
      </c>
      <c r="I19" s="6">
        <v>1</v>
      </c>
      <c r="J19" s="6"/>
    </row>
    <row r="20" spans="1:10" x14ac:dyDescent="0.2">
      <c r="A20" s="6" t="s">
        <v>34</v>
      </c>
      <c r="B20" s="6" t="s">
        <v>94</v>
      </c>
      <c r="C20" s="6" t="s">
        <v>148</v>
      </c>
      <c r="D20" s="6" t="str">
        <f>IFERROR(VLOOKUP(C20, Vendors!A:B, 2, FALSE), "-")</f>
        <v>Vendor I</v>
      </c>
      <c r="E20" s="6">
        <v>2026</v>
      </c>
      <c r="F20" s="6" t="str">
        <f>IFERROR(VLOOKUP(A20, Products!$A:$C, 3, FALSE), "-")</f>
        <v>เสื้อยืด</v>
      </c>
      <c r="G20" s="6" t="str">
        <f>_xlfn.XLOOKUP(B20, Table2[Variant Code], Table2[Description], "ไม่มีรายละเอียดย่อย")</f>
        <v>สีขาว</v>
      </c>
      <c r="H20" s="9">
        <v>90</v>
      </c>
      <c r="I20" s="6" t="s">
        <v>175</v>
      </c>
      <c r="J20" s="6"/>
    </row>
    <row r="21" spans="1:10" x14ac:dyDescent="0.2">
      <c r="A21" s="6" t="s">
        <v>34</v>
      </c>
      <c r="B21" s="6" t="s">
        <v>96</v>
      </c>
      <c r="C21" s="6" t="s">
        <v>148</v>
      </c>
      <c r="D21" s="6" t="str">
        <f>IFERROR(VLOOKUP(C21, Vendors!A:B, 2, FALSE), "-")</f>
        <v>Vendor I</v>
      </c>
      <c r="E21" s="6">
        <v>2026</v>
      </c>
      <c r="F21" s="6" t="str">
        <f>IFERROR(VLOOKUP(A21, Products!$A:$C, 3, FALSE), "-")</f>
        <v>เสื้อยืด</v>
      </c>
      <c r="G21" s="6" t="str">
        <f>_xlfn.XLOOKUP(B21, Table2[Variant Code], Table2[Description], "ไม่มีรายละเอียดย่อย")</f>
        <v>สีอ่อน</v>
      </c>
      <c r="H21" s="9">
        <v>95</v>
      </c>
      <c r="I21" s="6">
        <v>1</v>
      </c>
      <c r="J21" s="6"/>
    </row>
    <row r="22" spans="1:10" x14ac:dyDescent="0.2">
      <c r="A22" s="6" t="s">
        <v>34</v>
      </c>
      <c r="B22" s="6" t="s">
        <v>98</v>
      </c>
      <c r="C22" s="6" t="s">
        <v>148</v>
      </c>
      <c r="D22" s="6" t="str">
        <f>IFERROR(VLOOKUP(C22, Vendors!A:B, 2, FALSE), "-")</f>
        <v>Vendor I</v>
      </c>
      <c r="E22" s="6">
        <v>2026</v>
      </c>
      <c r="F22" s="6" t="str">
        <f>IFERROR(VLOOKUP(A22, Products!$A:$C, 3, FALSE), "-")</f>
        <v>เสื้อยืด</v>
      </c>
      <c r="G22" s="6" t="str">
        <f>_xlfn.XLOOKUP(B22, Table2[Variant Code], Table2[Description], "ไม่มีรายละเอียดย่อย")</f>
        <v>สีกลาง</v>
      </c>
      <c r="H22" s="9">
        <v>100</v>
      </c>
      <c r="I22" s="6">
        <v>1</v>
      </c>
      <c r="J22" s="6"/>
    </row>
    <row r="23" spans="1:10" x14ac:dyDescent="0.2">
      <c r="A23" s="6" t="s">
        <v>34</v>
      </c>
      <c r="B23" s="6" t="s">
        <v>100</v>
      </c>
      <c r="C23" s="6" t="s">
        <v>148</v>
      </c>
      <c r="D23" s="6" t="str">
        <f>IFERROR(VLOOKUP(C23, Vendors!A:B, 2, FALSE), "-")</f>
        <v>Vendor I</v>
      </c>
      <c r="E23" s="6">
        <v>2026</v>
      </c>
      <c r="F23" s="6" t="str">
        <f>IFERROR(VLOOKUP(A23, Products!$A:$C, 3, FALSE), "-")</f>
        <v>เสื้อยืด</v>
      </c>
      <c r="G23" s="6" t="str">
        <f>_xlfn.XLOOKUP(B23, Table2[Variant Code], Table2[Description], "ไม่มีรายละเอียดย่อย")</f>
        <v>สีเข้ม</v>
      </c>
      <c r="H23" s="9">
        <v>110</v>
      </c>
      <c r="I23" s="6" t="s">
        <v>167</v>
      </c>
      <c r="J23" s="6"/>
    </row>
    <row r="24" spans="1:10" x14ac:dyDescent="0.2">
      <c r="A24" s="6" t="s">
        <v>34</v>
      </c>
      <c r="B24" s="6" t="s">
        <v>94</v>
      </c>
      <c r="C24" s="6" t="s">
        <v>160</v>
      </c>
      <c r="D24" s="6" t="str">
        <f>IFERROR(VLOOKUP(C24, Vendors!A:B, 2, FALSE), "-")</f>
        <v>Vendor O</v>
      </c>
      <c r="E24" s="6">
        <v>2026</v>
      </c>
      <c r="F24" s="6" t="str">
        <f>IFERROR(VLOOKUP(A24, Products!$A:$C, 3, FALSE), "-")</f>
        <v>เสื้อยืด</v>
      </c>
      <c r="G24" s="6" t="str">
        <f>_xlfn.XLOOKUP(B24, Table2[Variant Code], Table2[Description], "ไม่มีรายละเอียดย่อย")</f>
        <v>สีขาว</v>
      </c>
      <c r="H24" s="9">
        <v>75</v>
      </c>
      <c r="I24" s="6">
        <v>1</v>
      </c>
      <c r="J24" s="6"/>
    </row>
    <row r="25" spans="1:10" x14ac:dyDescent="0.2">
      <c r="A25" s="6" t="s">
        <v>37</v>
      </c>
      <c r="B25" s="6" t="s">
        <v>102</v>
      </c>
      <c r="C25" s="6" t="s">
        <v>150</v>
      </c>
      <c r="D25" s="6" t="str">
        <f>IFERROR(VLOOKUP(C25, Vendors!A:B, 2, FALSE), "-")</f>
        <v>Vendor J</v>
      </c>
      <c r="E25" s="6">
        <v>2026</v>
      </c>
      <c r="F25" s="6" t="str">
        <f>IFERROR(VLOOKUP(A25, Products!$A:$C, 3, FALSE), "-")</f>
        <v>เสื้อโปโล TC</v>
      </c>
      <c r="G25" s="6" t="str">
        <f>_xlfn.XLOOKUP(B25, Table2[Variant Code], Table2[Description], "ไม่มีรายละเอียดย่อย")</f>
        <v>ผ้า TC สีขาว</v>
      </c>
      <c r="H25" s="9">
        <v>120</v>
      </c>
      <c r="I25" s="6">
        <v>1</v>
      </c>
      <c r="J25" s="6"/>
    </row>
    <row r="26" spans="1:10" x14ac:dyDescent="0.2">
      <c r="A26" s="6" t="s">
        <v>37</v>
      </c>
      <c r="B26" s="6" t="s">
        <v>106</v>
      </c>
      <c r="C26" s="6" t="s">
        <v>150</v>
      </c>
      <c r="D26" s="6" t="str">
        <f>IFERROR(VLOOKUP(C26, Vendors!A:B, 2, FALSE), "-")</f>
        <v>Vendor J</v>
      </c>
      <c r="E26" s="6">
        <v>2026</v>
      </c>
      <c r="F26" s="6" t="str">
        <f>IFERROR(VLOOKUP(A26, Products!$A:$C, 3, FALSE), "-")</f>
        <v>เสื้อโปโล TC</v>
      </c>
      <c r="G26" s="6" t="str">
        <f>_xlfn.XLOOKUP(B26, Table2[Variant Code], Table2[Description], "ไม่มีรายละเอียดย่อย")</f>
        <v>ผ้า TC สีกลาง</v>
      </c>
      <c r="H26" s="9">
        <v>130</v>
      </c>
      <c r="I26" s="6" t="s">
        <v>176</v>
      </c>
      <c r="J26" s="6"/>
    </row>
    <row r="27" spans="1:10" x14ac:dyDescent="0.2">
      <c r="A27" s="6" t="s">
        <v>41</v>
      </c>
      <c r="B27" s="6" t="s">
        <v>110</v>
      </c>
      <c r="C27" s="6" t="s">
        <v>152</v>
      </c>
      <c r="D27" s="6" t="str">
        <f>IFERROR(VLOOKUP(C27, Vendors!A:B, 2, FALSE), "-")</f>
        <v>Vendor K</v>
      </c>
      <c r="E27" s="6">
        <v>2026</v>
      </c>
      <c r="F27" s="6" t="str">
        <f>IFERROR(VLOOKUP(A27, Products!$A:$C, 3, FALSE), "-")</f>
        <v>สกรีน</v>
      </c>
      <c r="G27" s="6" t="str">
        <f>_xlfn.XLOOKUP(B27, Table2[Variant Code], Table2[Description], "ไม่มีรายละเอียดย่อย")</f>
        <v>1 สี</v>
      </c>
      <c r="H27" s="9">
        <v>25</v>
      </c>
      <c r="I27" s="6">
        <v>1</v>
      </c>
      <c r="J27" s="6"/>
    </row>
    <row r="28" spans="1:10" x14ac:dyDescent="0.2">
      <c r="A28" s="6" t="s">
        <v>41</v>
      </c>
      <c r="B28" s="6" t="s">
        <v>112</v>
      </c>
      <c r="C28" s="6" t="s">
        <v>152</v>
      </c>
      <c r="D28" s="6" t="str">
        <f>IFERROR(VLOOKUP(C28, Vendors!A:B, 2, FALSE), "-")</f>
        <v>Vendor K</v>
      </c>
      <c r="E28" s="6">
        <v>2026</v>
      </c>
      <c r="F28" s="6" t="str">
        <f>IFERROR(VLOOKUP(A28, Products!$A:$C, 3, FALSE), "-")</f>
        <v>สกรีน</v>
      </c>
      <c r="G28" s="6" t="str">
        <f>_xlfn.XLOOKUP(B28, Table2[Variant Code], Table2[Description], "ไม่มีรายละเอียดย่อย")</f>
        <v>2 สี</v>
      </c>
      <c r="H28" s="9">
        <v>30</v>
      </c>
      <c r="I28" s="6">
        <v>1</v>
      </c>
      <c r="J28" s="6"/>
    </row>
    <row r="29" spans="1:10" x14ac:dyDescent="0.2">
      <c r="A29" s="6" t="s">
        <v>41</v>
      </c>
      <c r="B29" s="6" t="s">
        <v>116</v>
      </c>
      <c r="C29" s="6" t="s">
        <v>152</v>
      </c>
      <c r="D29" s="6" t="str">
        <f>IFERROR(VLOOKUP(C29, Vendors!A:B, 2, FALSE), "-")</f>
        <v>Vendor K</v>
      </c>
      <c r="E29" s="6">
        <v>2026</v>
      </c>
      <c r="F29" s="6" t="str">
        <f>IFERROR(VLOOKUP(A29, Products!$A:$C, 3, FALSE), "-")</f>
        <v>สกรีน</v>
      </c>
      <c r="G29" s="6" t="str">
        <f>_xlfn.XLOOKUP(B29, Table2[Variant Code], Table2[Description], "ไม่มีรายละเอียดย่อย")</f>
        <v>4 สี</v>
      </c>
      <c r="H29" s="9">
        <v>40</v>
      </c>
      <c r="I29" s="6" t="s">
        <v>173</v>
      </c>
      <c r="J29" s="6"/>
    </row>
    <row r="30" spans="1:10" x14ac:dyDescent="0.2">
      <c r="A30" s="6" t="s">
        <v>43</v>
      </c>
      <c r="B30" s="6" t="s">
        <v>122</v>
      </c>
      <c r="C30" s="6" t="s">
        <v>154</v>
      </c>
      <c r="D30" s="6" t="str">
        <f>IFERROR(VLOOKUP(C30, Vendors!A:B, 2, FALSE), "-")</f>
        <v>Vendor L</v>
      </c>
      <c r="E30" s="6">
        <v>2026</v>
      </c>
      <c r="F30" s="6" t="str">
        <f>IFERROR(VLOOKUP(A30, Products!$A:$C, 3, FALSE), "-")</f>
        <v>แก้วกระดาษ</v>
      </c>
      <c r="G30" s="6" t="str">
        <f>_xlfn.XLOOKUP(B30, Table2[Variant Code], Table2[Description], "ไม่มีรายละเอียดย่อย")</f>
        <v>6.5 ออนซ์</v>
      </c>
      <c r="H30" s="9">
        <v>1.53</v>
      </c>
      <c r="I30" s="6">
        <v>1</v>
      </c>
      <c r="J30" s="6"/>
    </row>
    <row r="31" spans="1:10" x14ac:dyDescent="0.2">
      <c r="A31" s="6" t="s">
        <v>43</v>
      </c>
      <c r="B31" s="6" t="s">
        <v>124</v>
      </c>
      <c r="C31" s="6" t="s">
        <v>154</v>
      </c>
      <c r="D31" s="6" t="str">
        <f>IFERROR(VLOOKUP(C31, Vendors!A:B, 2, FALSE), "-")</f>
        <v>Vendor L</v>
      </c>
      <c r="E31" s="6">
        <v>2026</v>
      </c>
      <c r="F31" s="6" t="str">
        <f>IFERROR(VLOOKUP(A31, Products!$A:$C, 3, FALSE), "-")</f>
        <v>แก้วกระดาษ</v>
      </c>
      <c r="G31" s="6" t="str">
        <f>_xlfn.XLOOKUP(B31, Table2[Variant Code], Table2[Description], "ไม่มีรายละเอียดย่อย")</f>
        <v>22 ออนซ์</v>
      </c>
      <c r="H31" s="9">
        <v>3.94</v>
      </c>
      <c r="I31" s="6">
        <v>1</v>
      </c>
      <c r="J31" s="6"/>
    </row>
    <row r="32" spans="1:10" x14ac:dyDescent="0.2">
      <c r="A32" s="6" t="s">
        <v>48</v>
      </c>
      <c r="B32" s="6" t="s">
        <v>118</v>
      </c>
      <c r="C32" s="6" t="s">
        <v>156</v>
      </c>
      <c r="D32" s="6" t="str">
        <f>IFERROR(VLOOKUP(C32, Vendors!A:B, 2, FALSE), "-")</f>
        <v>Vendor M</v>
      </c>
      <c r="E32" s="6">
        <v>2026</v>
      </c>
      <c r="F32" s="6" t="str">
        <f>IFERROR(VLOOKUP(A32, Products!$A:$C, 3, FALSE), "-")</f>
        <v>Bean Bag</v>
      </c>
      <c r="G32" s="6" t="str">
        <f>_xlfn.XLOOKUP(B32, Table2[Variant Code], Table2[Description], "ไม่มีรายละเอียดย่อย")</f>
        <v>หนังชามัวร์</v>
      </c>
      <c r="H32" s="9">
        <v>850</v>
      </c>
      <c r="I32" s="6">
        <v>1</v>
      </c>
      <c r="J32" s="6"/>
    </row>
    <row r="33" spans="1:10" x14ac:dyDescent="0.2">
      <c r="A33" s="6" t="s">
        <v>48</v>
      </c>
      <c r="B33" s="6" t="s">
        <v>120</v>
      </c>
      <c r="C33" s="6" t="s">
        <v>156</v>
      </c>
      <c r="D33" s="6" t="str">
        <f>IFERROR(VLOOKUP(C33, Vendors!A:B, 2, FALSE), "-")</f>
        <v>Vendor M</v>
      </c>
      <c r="E33" s="6">
        <v>2026</v>
      </c>
      <c r="F33" s="6" t="str">
        <f>IFERROR(VLOOKUP(A33, Products!$A:$C, 3, FALSE), "-")</f>
        <v>Bean Bag</v>
      </c>
      <c r="G33" s="6" t="str">
        <f>_xlfn.XLOOKUP(B33, Table2[Variant Code], Table2[Description], "ไม่มีรายละเอียดย่อย")</f>
        <v>วัสดุผ้า</v>
      </c>
      <c r="H33" s="9">
        <v>800</v>
      </c>
      <c r="I33" s="6">
        <v>1</v>
      </c>
      <c r="J33" s="6"/>
    </row>
    <row r="34" spans="1:10" x14ac:dyDescent="0.2">
      <c r="A34" s="6" t="s">
        <v>18</v>
      </c>
      <c r="B34" s="6" t="s">
        <v>80</v>
      </c>
      <c r="C34" s="6" t="s">
        <v>132</v>
      </c>
      <c r="D34" s="6" t="str">
        <f>IFERROR(VLOOKUP(C34, Vendors!A:B, 2, FALSE), "-")</f>
        <v>Vendor A</v>
      </c>
      <c r="E34" s="6"/>
      <c r="F34" s="6" t="str">
        <f>IFERROR(VLOOKUP(A34, Products!$A:$C, 3, FALSE), "-")</f>
        <v>ธงปีกนก</v>
      </c>
      <c r="G34" s="6" t="str">
        <f>_xlfn.XLOOKUP(B34, Table2[Variant Code], Table2[Description], "ไม่มีรายละเอียดย่อย")</f>
        <v>120x40x150 cm (TT-DSD)</v>
      </c>
      <c r="H34" s="9">
        <v>1000</v>
      </c>
      <c r="I34" s="6">
        <v>1</v>
      </c>
      <c r="J34" s="6"/>
    </row>
    <row r="35" spans="1:10" x14ac:dyDescent="0.2">
      <c r="A35" s="6" t="s">
        <v>20</v>
      </c>
      <c r="B35" s="6" t="s">
        <v>128</v>
      </c>
      <c r="C35" s="6" t="s">
        <v>132</v>
      </c>
      <c r="D35" s="6" t="str">
        <f>IFERROR(VLOOKUP(C35, Vendors!A:B, 2, FALSE), "-")</f>
        <v>Vendor A</v>
      </c>
      <c r="E35" s="6"/>
      <c r="F35" s="6" t="str">
        <f>IFERROR(VLOOKUP(A35, Products!$A:$C, 3, FALSE), "-")</f>
        <v>ฐานน้ำ</v>
      </c>
      <c r="G35" s="6" t="str">
        <f>_xlfn.XLOOKUP(B35, Table2[Variant Code], Table2[Description], "ไม่มีรายละเอียดย่อย")</f>
        <v>20 L</v>
      </c>
      <c r="H35" s="9">
        <v>600</v>
      </c>
      <c r="I35" s="6">
        <v>1</v>
      </c>
      <c r="J35" s="6"/>
    </row>
  </sheetData>
  <dataValidations count="3">
    <dataValidation type="whole" showErrorMessage="1" errorTitle="Invalid Year" error="Year must be between 2024 and 2030" sqref="E2:E35" xr:uid="{00000000-0002-0000-0400-000003000000}">
      <formula1>2024</formula1>
      <formula2>2030</formula2>
    </dataValidation>
    <dataValidation type="decimal" operator="greaterThan" showErrorMessage="1" errorTitle="Invalid Price" error="Price must be greater than 0" sqref="H2:H35" xr:uid="{00000000-0002-0000-0400-000004000000}">
      <formula1>0</formula1>
    </dataValidation>
    <dataValidation type="whole" operator="greaterThanOrEqual" showErrorMessage="1" errorTitle="Invalid Quantity" error="Quantity must be at least 1" sqref="I5:I6 I10:I11 I13:I14 I16:I17 I19 I21:I22 I24:I25 I27:I28 I30:I35" xr:uid="{00000000-0002-0000-0400-000005000000}">
      <formula1>1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Products!$A:$A</xm:f>
          </x14:formula1>
          <xm:sqref>A2:A35</xm:sqref>
        </x14:dataValidation>
        <x14:dataValidation type="list" showErrorMessage="1" errorTitle="Invalid Vendor Code" error="Please select a valid vendor code from the list" xr:uid="{00000000-0002-0000-0400-000002000000}">
          <x14:formula1>
            <xm:f>Vendors!$A$2:$A$100</xm:f>
          </x14:formula1>
          <xm:sqref>C2:D35</xm:sqref>
        </x14:dataValidation>
        <x14:dataValidation type="list" allowBlank="1" showErrorMessage="1" errorTitle="Invalid Variant Code" error="Please select a valid variant code from the list" xr:uid="{00000000-0002-0000-0400-000001000000}">
          <x14:formula1>
            <xm:f>Variants!$B$2:$B$102</xm:f>
          </x14:formula1>
          <xm:sqref>B2:B7 B9:B35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EEBCB-D78F-4B18-9DB8-CBD95A67DEE6}">
  <dimension ref="B2:T80"/>
  <sheetViews>
    <sheetView workbookViewId="0">
      <selection activeCell="F18" sqref="F18"/>
    </sheetView>
  </sheetViews>
  <sheetFormatPr baseColWidth="10" defaultColWidth="8.83203125" defaultRowHeight="15" x14ac:dyDescent="0.2"/>
  <cols>
    <col min="1" max="1" width="5.1640625" customWidth="1"/>
    <col min="2" max="2" width="19.33203125" bestFit="1" customWidth="1"/>
    <col min="3" max="3" width="44.1640625" bestFit="1" customWidth="1"/>
    <col min="4" max="4" width="11.5" bestFit="1" customWidth="1"/>
    <col min="5" max="5" width="16.6640625" bestFit="1" customWidth="1"/>
    <col min="6" max="6" width="9.5" bestFit="1" customWidth="1"/>
    <col min="7" max="7" width="9.33203125" bestFit="1" customWidth="1"/>
    <col min="8" max="8" width="9.5" bestFit="1" customWidth="1"/>
    <col min="9" max="9" width="9.33203125" bestFit="1" customWidth="1"/>
    <col min="10" max="10" width="9.1640625" bestFit="1" customWidth="1"/>
    <col min="11" max="12" width="9.5" bestFit="1" customWidth="1"/>
    <col min="13" max="13" width="8.6640625" bestFit="1" customWidth="1"/>
    <col min="14" max="14" width="8.83203125" bestFit="1" customWidth="1"/>
    <col min="15" max="15" width="9.5" bestFit="1" customWidth="1"/>
    <col min="16" max="16" width="9.1640625" bestFit="1" customWidth="1"/>
    <col min="17" max="17" width="10" bestFit="1" customWidth="1"/>
    <col min="18" max="19" width="9.5" bestFit="1" customWidth="1"/>
    <col min="20" max="21" width="11.6640625" bestFit="1" customWidth="1"/>
    <col min="22" max="22" width="12.33203125" bestFit="1" customWidth="1"/>
    <col min="23" max="23" width="13" bestFit="1" customWidth="1"/>
    <col min="24" max="24" width="12.33203125" bestFit="1" customWidth="1"/>
    <col min="25" max="25" width="13" bestFit="1" customWidth="1"/>
    <col min="26" max="26" width="12.33203125" bestFit="1" customWidth="1"/>
    <col min="27" max="27" width="13" bestFit="1" customWidth="1"/>
    <col min="28" max="28" width="12.33203125" bestFit="1" customWidth="1"/>
    <col min="29" max="29" width="13" bestFit="1" customWidth="1"/>
    <col min="30" max="30" width="12.33203125" bestFit="1" customWidth="1"/>
    <col min="31" max="31" width="13" bestFit="1" customWidth="1"/>
    <col min="32" max="32" width="12.33203125" bestFit="1" customWidth="1"/>
    <col min="33" max="33" width="13" bestFit="1" customWidth="1"/>
    <col min="34" max="34" width="12.33203125" bestFit="1" customWidth="1"/>
    <col min="35" max="35" width="13" bestFit="1" customWidth="1"/>
    <col min="36" max="36" width="17.5" bestFit="1" customWidth="1"/>
    <col min="37" max="37" width="18.33203125" bestFit="1" customWidth="1"/>
    <col min="38" max="38" width="11.83203125" bestFit="1" customWidth="1"/>
    <col min="39" max="39" width="15.33203125" bestFit="1" customWidth="1"/>
    <col min="40" max="40" width="11.5" bestFit="1" customWidth="1"/>
    <col min="41" max="41" width="7.5" bestFit="1" customWidth="1"/>
    <col min="42" max="42" width="14.6640625" bestFit="1" customWidth="1"/>
    <col min="43" max="43" width="11.5" bestFit="1" customWidth="1"/>
    <col min="44" max="44" width="14.83203125" bestFit="1" customWidth="1"/>
    <col min="45" max="45" width="11.6640625" bestFit="1" customWidth="1"/>
    <col min="46" max="46" width="12.5" bestFit="1" customWidth="1"/>
    <col min="47" max="47" width="14" bestFit="1" customWidth="1"/>
    <col min="48" max="48" width="11.33203125" bestFit="1" customWidth="1"/>
    <col min="49" max="49" width="7.33203125" bestFit="1" customWidth="1"/>
    <col min="50" max="50" width="10.1640625" bestFit="1" customWidth="1"/>
    <col min="51" max="51" width="12.5" bestFit="1" customWidth="1"/>
    <col min="52" max="52" width="14.5" bestFit="1" customWidth="1"/>
    <col min="53" max="53" width="11" bestFit="1" customWidth="1"/>
    <col min="54" max="54" width="7.33203125" bestFit="1" customWidth="1"/>
    <col min="55" max="55" width="14.33203125" bestFit="1" customWidth="1"/>
    <col min="56" max="56" width="11.83203125" bestFit="1" customWidth="1"/>
    <col min="57" max="57" width="7.33203125" bestFit="1" customWidth="1"/>
    <col min="58" max="58" width="15.33203125" bestFit="1" customWidth="1"/>
    <col min="59" max="59" width="11.5" bestFit="1" customWidth="1"/>
    <col min="60" max="60" width="7.33203125" bestFit="1" customWidth="1"/>
    <col min="61" max="61" width="9.6640625" bestFit="1" customWidth="1"/>
    <col min="62" max="62" width="12.5" bestFit="1" customWidth="1"/>
    <col min="63" max="63" width="14.6640625" bestFit="1" customWidth="1"/>
    <col min="64" max="64" width="11.5" bestFit="1" customWidth="1"/>
    <col min="65" max="65" width="7.33203125" bestFit="1" customWidth="1"/>
    <col min="66" max="66" width="14.83203125" bestFit="1" customWidth="1"/>
    <col min="67" max="67" width="11.6640625" bestFit="1" customWidth="1"/>
    <col min="68" max="68" width="10.1640625" bestFit="1" customWidth="1"/>
    <col min="69" max="69" width="12.5" bestFit="1" customWidth="1"/>
    <col min="70" max="70" width="11.33203125" bestFit="1" customWidth="1"/>
    <col min="71" max="71" width="14.5" bestFit="1" customWidth="1"/>
    <col min="72" max="72" width="14" bestFit="1" customWidth="1"/>
    <col min="73" max="73" width="7.33203125" bestFit="1" customWidth="1"/>
    <col min="74" max="74" width="17" bestFit="1" customWidth="1"/>
    <col min="75" max="75" width="14.33203125" bestFit="1" customWidth="1"/>
    <col min="76" max="76" width="11.83203125" bestFit="1" customWidth="1"/>
    <col min="77" max="77" width="7.33203125" bestFit="1" customWidth="1"/>
    <col min="78" max="78" width="14.5" bestFit="1" customWidth="1"/>
    <col min="79" max="79" width="15.33203125" bestFit="1" customWidth="1"/>
    <col min="80" max="80" width="11.5" bestFit="1" customWidth="1"/>
    <col min="81" max="81" width="7.33203125" bestFit="1" customWidth="1"/>
    <col min="82" max="82" width="9.6640625" bestFit="1" customWidth="1"/>
    <col min="83" max="83" width="12.5" bestFit="1" customWidth="1"/>
    <col min="84" max="84" width="13.6640625" bestFit="1" customWidth="1"/>
    <col min="85" max="85" width="14.6640625" bestFit="1" customWidth="1"/>
    <col min="86" max="86" width="11.5" bestFit="1" customWidth="1"/>
    <col min="87" max="87" width="7.33203125" bestFit="1" customWidth="1"/>
    <col min="88" max="88" width="11.83203125" bestFit="1" customWidth="1"/>
    <col min="89" max="89" width="14.83203125" bestFit="1" customWidth="1"/>
    <col min="90" max="90" width="11.6640625" bestFit="1" customWidth="1"/>
  </cols>
  <sheetData>
    <row r="2" spans="2:20" x14ac:dyDescent="0.2">
      <c r="B2" s="10" t="s">
        <v>177</v>
      </c>
      <c r="C2" s="11"/>
      <c r="D2" s="11"/>
      <c r="E2" s="12" t="s">
        <v>131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2:20" x14ac:dyDescent="0.2">
      <c r="B3" s="12" t="s">
        <v>2</v>
      </c>
      <c r="C3" s="12" t="s">
        <v>163</v>
      </c>
      <c r="D3" s="12" t="s">
        <v>165</v>
      </c>
      <c r="E3" s="11" t="s">
        <v>133</v>
      </c>
      <c r="F3" s="11" t="s">
        <v>135</v>
      </c>
      <c r="G3" s="11" t="s">
        <v>137</v>
      </c>
      <c r="H3" s="11" t="s">
        <v>139</v>
      </c>
      <c r="I3" s="11" t="s">
        <v>141</v>
      </c>
      <c r="J3" s="11" t="s">
        <v>143</v>
      </c>
      <c r="K3" s="11" t="s">
        <v>145</v>
      </c>
      <c r="L3" s="11" t="s">
        <v>147</v>
      </c>
      <c r="M3" s="11" t="s">
        <v>149</v>
      </c>
      <c r="N3" s="11" t="s">
        <v>151</v>
      </c>
      <c r="O3" s="11" t="s">
        <v>153</v>
      </c>
      <c r="P3" s="11" t="s">
        <v>155</v>
      </c>
      <c r="Q3" s="11" t="s">
        <v>157</v>
      </c>
      <c r="R3" s="11" t="s">
        <v>159</v>
      </c>
      <c r="S3" s="11" t="s">
        <v>161</v>
      </c>
      <c r="T3" s="11" t="s">
        <v>178</v>
      </c>
    </row>
    <row r="4" spans="2:20" x14ac:dyDescent="0.2">
      <c r="B4" s="11" t="s">
        <v>49</v>
      </c>
      <c r="C4" s="11" t="s">
        <v>119</v>
      </c>
      <c r="D4" s="11">
        <v>1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>
        <v>850</v>
      </c>
      <c r="R4" s="11"/>
      <c r="S4" s="11"/>
      <c r="T4" s="11">
        <v>850</v>
      </c>
    </row>
    <row r="5" spans="2:20" x14ac:dyDescent="0.2">
      <c r="B5" s="11"/>
      <c r="C5" s="11" t="s">
        <v>179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>
        <v>850</v>
      </c>
      <c r="R5" s="11"/>
      <c r="S5" s="11"/>
      <c r="T5" s="11">
        <v>850</v>
      </c>
    </row>
    <row r="6" spans="2:20" x14ac:dyDescent="0.2">
      <c r="B6" s="11"/>
      <c r="C6" s="11" t="s">
        <v>121</v>
      </c>
      <c r="D6" s="11">
        <v>1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>
        <v>800</v>
      </c>
      <c r="R6" s="11"/>
      <c r="S6" s="11"/>
      <c r="T6" s="11">
        <v>800</v>
      </c>
    </row>
    <row r="7" spans="2:20" x14ac:dyDescent="0.2">
      <c r="B7" s="11"/>
      <c r="C7" s="11" t="s">
        <v>180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>
        <v>800</v>
      </c>
      <c r="R7" s="11"/>
      <c r="S7" s="11"/>
      <c r="T7" s="11">
        <v>800</v>
      </c>
    </row>
    <row r="8" spans="2:20" x14ac:dyDescent="0.2">
      <c r="B8" s="11" t="s">
        <v>181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>
        <v>800</v>
      </c>
      <c r="R8" s="11"/>
      <c r="S8" s="11"/>
      <c r="T8" s="11">
        <v>800</v>
      </c>
    </row>
    <row r="9" spans="2:20" x14ac:dyDescent="0.2">
      <c r="B9" s="11" t="s">
        <v>25</v>
      </c>
      <c r="C9" s="11" t="s">
        <v>85</v>
      </c>
      <c r="D9" s="11">
        <v>1</v>
      </c>
      <c r="E9" s="11"/>
      <c r="F9" s="11"/>
      <c r="G9" s="11"/>
      <c r="H9" s="11"/>
      <c r="I9" s="11"/>
      <c r="J9" s="11">
        <v>580</v>
      </c>
      <c r="K9" s="11"/>
      <c r="L9" s="11"/>
      <c r="M9" s="11"/>
      <c r="N9" s="11"/>
      <c r="O9" s="11"/>
      <c r="P9" s="11"/>
      <c r="Q9" s="11"/>
      <c r="R9" s="11"/>
      <c r="S9" s="11"/>
      <c r="T9" s="11">
        <v>580</v>
      </c>
    </row>
    <row r="10" spans="2:20" x14ac:dyDescent="0.2">
      <c r="B10" s="11"/>
      <c r="C10" s="11" t="s">
        <v>182</v>
      </c>
      <c r="D10" s="11"/>
      <c r="E10" s="11"/>
      <c r="F10" s="11"/>
      <c r="G10" s="11"/>
      <c r="H10" s="11"/>
      <c r="I10" s="11"/>
      <c r="J10" s="11">
        <v>580</v>
      </c>
      <c r="K10" s="11"/>
      <c r="L10" s="11"/>
      <c r="M10" s="11"/>
      <c r="N10" s="11"/>
      <c r="O10" s="11"/>
      <c r="P10" s="11"/>
      <c r="Q10" s="11"/>
      <c r="R10" s="11"/>
      <c r="S10" s="11"/>
      <c r="T10" s="11">
        <v>580</v>
      </c>
    </row>
    <row r="11" spans="2:20" x14ac:dyDescent="0.2">
      <c r="B11" s="11"/>
      <c r="C11" s="11" t="s">
        <v>87</v>
      </c>
      <c r="D11" s="11" t="s">
        <v>173</v>
      </c>
      <c r="E11" s="11"/>
      <c r="F11" s="11"/>
      <c r="G11" s="11"/>
      <c r="H11" s="11"/>
      <c r="I11" s="11"/>
      <c r="J11" s="11">
        <v>450</v>
      </c>
      <c r="K11" s="11"/>
      <c r="L11" s="11"/>
      <c r="M11" s="11"/>
      <c r="N11" s="11"/>
      <c r="O11" s="11"/>
      <c r="P11" s="11"/>
      <c r="Q11" s="11"/>
      <c r="R11" s="11"/>
      <c r="S11" s="11"/>
      <c r="T11" s="11">
        <v>450</v>
      </c>
    </row>
    <row r="12" spans="2:20" x14ac:dyDescent="0.2">
      <c r="B12" s="11"/>
      <c r="C12" s="11" t="s">
        <v>183</v>
      </c>
      <c r="D12" s="11"/>
      <c r="E12" s="11"/>
      <c r="F12" s="11"/>
      <c r="G12" s="11"/>
      <c r="H12" s="11"/>
      <c r="I12" s="11"/>
      <c r="J12" s="11">
        <v>450</v>
      </c>
      <c r="K12" s="11"/>
      <c r="L12" s="11"/>
      <c r="M12" s="11"/>
      <c r="N12" s="11"/>
      <c r="O12" s="11"/>
      <c r="P12" s="11"/>
      <c r="Q12" s="11"/>
      <c r="R12" s="11"/>
      <c r="S12" s="11"/>
      <c r="T12" s="11">
        <v>450</v>
      </c>
    </row>
    <row r="13" spans="2:20" x14ac:dyDescent="0.2">
      <c r="B13" s="11"/>
      <c r="C13" s="11" t="s">
        <v>89</v>
      </c>
      <c r="D13" s="11">
        <v>1</v>
      </c>
      <c r="E13" s="11"/>
      <c r="F13" s="11"/>
      <c r="G13" s="11"/>
      <c r="H13" s="11"/>
      <c r="I13" s="11"/>
      <c r="J13" s="11">
        <v>350</v>
      </c>
      <c r="K13" s="11"/>
      <c r="L13" s="11"/>
      <c r="M13" s="11"/>
      <c r="N13" s="11"/>
      <c r="O13" s="11"/>
      <c r="P13" s="11"/>
      <c r="Q13" s="11"/>
      <c r="R13" s="11"/>
      <c r="S13" s="11"/>
      <c r="T13" s="11">
        <v>350</v>
      </c>
    </row>
    <row r="14" spans="2:20" x14ac:dyDescent="0.2">
      <c r="B14" s="11"/>
      <c r="C14" s="11" t="s">
        <v>184</v>
      </c>
      <c r="D14" s="11"/>
      <c r="E14" s="11"/>
      <c r="F14" s="11"/>
      <c r="G14" s="11"/>
      <c r="H14" s="11"/>
      <c r="I14" s="11"/>
      <c r="J14" s="11">
        <v>350</v>
      </c>
      <c r="K14" s="11"/>
      <c r="L14" s="11"/>
      <c r="M14" s="11"/>
      <c r="N14" s="11"/>
      <c r="O14" s="11"/>
      <c r="P14" s="11"/>
      <c r="Q14" s="11"/>
      <c r="R14" s="11"/>
      <c r="S14" s="11"/>
      <c r="T14" s="11">
        <v>350</v>
      </c>
    </row>
    <row r="15" spans="2:20" x14ac:dyDescent="0.2">
      <c r="B15" s="11" t="s">
        <v>185</v>
      </c>
      <c r="C15" s="11"/>
      <c r="D15" s="11"/>
      <c r="E15" s="11"/>
      <c r="F15" s="11"/>
      <c r="G15" s="11"/>
      <c r="H15" s="11"/>
      <c r="I15" s="11"/>
      <c r="J15" s="11">
        <v>350</v>
      </c>
      <c r="K15" s="11"/>
      <c r="L15" s="11"/>
      <c r="M15" s="11"/>
      <c r="N15" s="11"/>
      <c r="O15" s="11"/>
      <c r="P15" s="11"/>
      <c r="Q15" s="11"/>
      <c r="R15" s="11"/>
      <c r="S15" s="11"/>
      <c r="T15" s="11">
        <v>350</v>
      </c>
    </row>
    <row r="16" spans="2:20" x14ac:dyDescent="0.2">
      <c r="B16" s="11" t="s">
        <v>38</v>
      </c>
      <c r="C16" s="11" t="s">
        <v>103</v>
      </c>
      <c r="D16" s="11">
        <v>1</v>
      </c>
      <c r="E16" s="11"/>
      <c r="F16" s="11"/>
      <c r="G16" s="11"/>
      <c r="H16" s="11"/>
      <c r="I16" s="11"/>
      <c r="J16" s="11"/>
      <c r="K16" s="11"/>
      <c r="L16" s="11"/>
      <c r="M16" s="11"/>
      <c r="N16" s="11">
        <v>120</v>
      </c>
      <c r="O16" s="11"/>
      <c r="P16" s="11"/>
      <c r="Q16" s="11"/>
      <c r="R16" s="11"/>
      <c r="S16" s="11"/>
      <c r="T16" s="11">
        <v>120</v>
      </c>
    </row>
    <row r="17" spans="2:20" x14ac:dyDescent="0.2">
      <c r="B17" s="11"/>
      <c r="C17" s="11" t="s">
        <v>186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>
        <v>120</v>
      </c>
      <c r="O17" s="11"/>
      <c r="P17" s="11"/>
      <c r="Q17" s="11"/>
      <c r="R17" s="11"/>
      <c r="S17" s="11"/>
      <c r="T17" s="11">
        <v>120</v>
      </c>
    </row>
    <row r="18" spans="2:20" x14ac:dyDescent="0.2">
      <c r="B18" s="11"/>
      <c r="C18" s="11" t="s">
        <v>107</v>
      </c>
      <c r="D18" s="11" t="s">
        <v>176</v>
      </c>
      <c r="E18" s="11"/>
      <c r="F18" s="11"/>
      <c r="G18" s="11"/>
      <c r="H18" s="11"/>
      <c r="I18" s="11"/>
      <c r="J18" s="11"/>
      <c r="K18" s="11"/>
      <c r="L18" s="11"/>
      <c r="M18" s="11"/>
      <c r="N18" s="11">
        <v>130</v>
      </c>
      <c r="O18" s="11"/>
      <c r="P18" s="11"/>
      <c r="Q18" s="11"/>
      <c r="R18" s="11"/>
      <c r="S18" s="11"/>
      <c r="T18" s="11">
        <v>130</v>
      </c>
    </row>
    <row r="19" spans="2:20" x14ac:dyDescent="0.2">
      <c r="B19" s="11"/>
      <c r="C19" s="11" t="s">
        <v>187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>
        <v>130</v>
      </c>
      <c r="O19" s="11"/>
      <c r="P19" s="11"/>
      <c r="Q19" s="11"/>
      <c r="R19" s="11"/>
      <c r="S19" s="11"/>
      <c r="T19" s="11">
        <v>130</v>
      </c>
    </row>
    <row r="20" spans="2:20" x14ac:dyDescent="0.2">
      <c r="B20" s="11" t="s">
        <v>188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>
        <v>120</v>
      </c>
      <c r="O20" s="11"/>
      <c r="P20" s="11"/>
      <c r="Q20" s="11"/>
      <c r="R20" s="11"/>
      <c r="S20" s="11"/>
      <c r="T20" s="11">
        <v>120</v>
      </c>
    </row>
    <row r="21" spans="2:20" x14ac:dyDescent="0.2">
      <c r="B21" s="11" t="s">
        <v>36</v>
      </c>
      <c r="C21" s="11" t="s">
        <v>95</v>
      </c>
      <c r="D21" s="11">
        <v>1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>
        <v>75</v>
      </c>
      <c r="T21" s="11">
        <v>75</v>
      </c>
    </row>
    <row r="22" spans="2:20" x14ac:dyDescent="0.2">
      <c r="B22" s="11"/>
      <c r="C22" s="11"/>
      <c r="D22" s="11" t="s">
        <v>175</v>
      </c>
      <c r="E22" s="11"/>
      <c r="F22" s="11"/>
      <c r="G22" s="11"/>
      <c r="H22" s="11"/>
      <c r="I22" s="11"/>
      <c r="J22" s="11"/>
      <c r="K22" s="11"/>
      <c r="L22" s="11"/>
      <c r="M22" s="11">
        <v>90</v>
      </c>
      <c r="N22" s="11"/>
      <c r="O22" s="11"/>
      <c r="P22" s="11"/>
      <c r="Q22" s="11"/>
      <c r="R22" s="11"/>
      <c r="S22" s="11"/>
      <c r="T22" s="11">
        <v>90</v>
      </c>
    </row>
    <row r="23" spans="2:20" x14ac:dyDescent="0.2">
      <c r="B23" s="11"/>
      <c r="C23" s="11" t="s">
        <v>189</v>
      </c>
      <c r="D23" s="11"/>
      <c r="E23" s="11"/>
      <c r="F23" s="11"/>
      <c r="G23" s="11"/>
      <c r="H23" s="11"/>
      <c r="I23" s="11"/>
      <c r="J23" s="11"/>
      <c r="K23" s="11"/>
      <c r="L23" s="11"/>
      <c r="M23" s="11">
        <v>90</v>
      </c>
      <c r="N23" s="11"/>
      <c r="O23" s="11"/>
      <c r="P23" s="11"/>
      <c r="Q23" s="11"/>
      <c r="R23" s="11"/>
      <c r="S23" s="11">
        <v>75</v>
      </c>
      <c r="T23" s="11">
        <v>75</v>
      </c>
    </row>
    <row r="24" spans="2:20" x14ac:dyDescent="0.2">
      <c r="B24" s="11"/>
      <c r="C24" s="11" t="s">
        <v>97</v>
      </c>
      <c r="D24" s="11">
        <v>1</v>
      </c>
      <c r="E24" s="11"/>
      <c r="F24" s="11"/>
      <c r="G24" s="11"/>
      <c r="H24" s="11"/>
      <c r="I24" s="11"/>
      <c r="J24" s="11"/>
      <c r="K24" s="11"/>
      <c r="L24" s="11"/>
      <c r="M24" s="11">
        <v>95</v>
      </c>
      <c r="N24" s="11"/>
      <c r="O24" s="11"/>
      <c r="P24" s="11"/>
      <c r="Q24" s="11"/>
      <c r="R24" s="11"/>
      <c r="S24" s="11"/>
      <c r="T24" s="11">
        <v>95</v>
      </c>
    </row>
    <row r="25" spans="2:20" x14ac:dyDescent="0.2">
      <c r="B25" s="11"/>
      <c r="C25" s="11" t="s">
        <v>190</v>
      </c>
      <c r="D25" s="11"/>
      <c r="E25" s="11"/>
      <c r="F25" s="11"/>
      <c r="G25" s="11"/>
      <c r="H25" s="11"/>
      <c r="I25" s="11"/>
      <c r="J25" s="11"/>
      <c r="K25" s="11"/>
      <c r="L25" s="11"/>
      <c r="M25" s="11">
        <v>95</v>
      </c>
      <c r="N25" s="11"/>
      <c r="O25" s="11"/>
      <c r="P25" s="11"/>
      <c r="Q25" s="11"/>
      <c r="R25" s="11"/>
      <c r="S25" s="11"/>
      <c r="T25" s="11">
        <v>95</v>
      </c>
    </row>
    <row r="26" spans="2:20" x14ac:dyDescent="0.2">
      <c r="B26" s="11"/>
      <c r="C26" s="11" t="s">
        <v>99</v>
      </c>
      <c r="D26" s="11">
        <v>1</v>
      </c>
      <c r="E26" s="11"/>
      <c r="F26" s="11"/>
      <c r="G26" s="11"/>
      <c r="H26" s="11"/>
      <c r="I26" s="11"/>
      <c r="J26" s="11"/>
      <c r="K26" s="11"/>
      <c r="L26" s="11"/>
      <c r="M26" s="11">
        <v>100</v>
      </c>
      <c r="N26" s="11"/>
      <c r="O26" s="11"/>
      <c r="P26" s="11"/>
      <c r="Q26" s="11"/>
      <c r="R26" s="11"/>
      <c r="S26" s="11"/>
      <c r="T26" s="11">
        <v>100</v>
      </c>
    </row>
    <row r="27" spans="2:20" x14ac:dyDescent="0.2">
      <c r="B27" s="11"/>
      <c r="C27" s="11" t="s">
        <v>191</v>
      </c>
      <c r="D27" s="11"/>
      <c r="E27" s="11"/>
      <c r="F27" s="11"/>
      <c r="G27" s="11"/>
      <c r="H27" s="11"/>
      <c r="I27" s="11"/>
      <c r="J27" s="11"/>
      <c r="K27" s="11"/>
      <c r="L27" s="11"/>
      <c r="M27" s="11">
        <v>100</v>
      </c>
      <c r="N27" s="11"/>
      <c r="O27" s="11"/>
      <c r="P27" s="11"/>
      <c r="Q27" s="11"/>
      <c r="R27" s="11"/>
      <c r="S27" s="11"/>
      <c r="T27" s="11">
        <v>100</v>
      </c>
    </row>
    <row r="28" spans="2:20" x14ac:dyDescent="0.2">
      <c r="B28" s="11"/>
      <c r="C28" s="11" t="s">
        <v>101</v>
      </c>
      <c r="D28" s="11" t="s">
        <v>167</v>
      </c>
      <c r="E28" s="11"/>
      <c r="F28" s="11"/>
      <c r="G28" s="11"/>
      <c r="H28" s="11"/>
      <c r="I28" s="11"/>
      <c r="J28" s="11"/>
      <c r="K28" s="11"/>
      <c r="L28" s="11"/>
      <c r="M28" s="11">
        <v>110</v>
      </c>
      <c r="N28" s="11"/>
      <c r="O28" s="11"/>
      <c r="P28" s="11"/>
      <c r="Q28" s="11"/>
      <c r="R28" s="11"/>
      <c r="S28" s="11"/>
      <c r="T28" s="11">
        <v>110</v>
      </c>
    </row>
    <row r="29" spans="2:20" x14ac:dyDescent="0.2">
      <c r="B29" s="11"/>
      <c r="C29" s="11" t="s">
        <v>192</v>
      </c>
      <c r="D29" s="11"/>
      <c r="E29" s="11"/>
      <c r="F29" s="11"/>
      <c r="G29" s="11"/>
      <c r="H29" s="11"/>
      <c r="I29" s="11"/>
      <c r="J29" s="11"/>
      <c r="K29" s="11"/>
      <c r="L29" s="11"/>
      <c r="M29" s="11">
        <v>110</v>
      </c>
      <c r="N29" s="11"/>
      <c r="O29" s="11"/>
      <c r="P29" s="11"/>
      <c r="Q29" s="11"/>
      <c r="R29" s="11"/>
      <c r="S29" s="11"/>
      <c r="T29" s="11">
        <v>110</v>
      </c>
    </row>
    <row r="30" spans="2:20" x14ac:dyDescent="0.2">
      <c r="B30" s="11" t="s">
        <v>193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>
        <v>90</v>
      </c>
      <c r="N30" s="11"/>
      <c r="O30" s="11"/>
      <c r="P30" s="11"/>
      <c r="Q30" s="11"/>
      <c r="R30" s="11"/>
      <c r="S30" s="11">
        <v>75</v>
      </c>
      <c r="T30" s="11">
        <v>75</v>
      </c>
    </row>
    <row r="31" spans="2:20" x14ac:dyDescent="0.2">
      <c r="B31" s="11" t="s">
        <v>45</v>
      </c>
      <c r="C31" s="11" t="s">
        <v>123</v>
      </c>
      <c r="D31" s="11">
        <v>1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1.53</v>
      </c>
      <c r="Q31" s="11"/>
      <c r="R31" s="11"/>
      <c r="S31" s="11"/>
      <c r="T31" s="11">
        <v>1.53</v>
      </c>
    </row>
    <row r="32" spans="2:20" x14ac:dyDescent="0.2">
      <c r="B32" s="11"/>
      <c r="C32" s="11" t="s">
        <v>194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1.53</v>
      </c>
      <c r="Q32" s="11"/>
      <c r="R32" s="11"/>
      <c r="S32" s="11"/>
      <c r="T32" s="11">
        <v>1.53</v>
      </c>
    </row>
    <row r="33" spans="2:20" x14ac:dyDescent="0.2">
      <c r="B33" s="11"/>
      <c r="C33" s="11" t="s">
        <v>125</v>
      </c>
      <c r="D33" s="11">
        <v>1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3.94</v>
      </c>
      <c r="Q33" s="11"/>
      <c r="R33" s="11"/>
      <c r="S33" s="11"/>
      <c r="T33" s="11">
        <v>3.94</v>
      </c>
    </row>
    <row r="34" spans="2:20" x14ac:dyDescent="0.2">
      <c r="B34" s="11"/>
      <c r="C34" s="11" t="s">
        <v>195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3.94</v>
      </c>
      <c r="Q34" s="11"/>
      <c r="R34" s="11"/>
      <c r="S34" s="11"/>
      <c r="T34" s="11">
        <v>3.94</v>
      </c>
    </row>
    <row r="35" spans="2:20" x14ac:dyDescent="0.2">
      <c r="B35" s="11" t="s">
        <v>196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1.53</v>
      </c>
      <c r="Q35" s="11"/>
      <c r="R35" s="11"/>
      <c r="S35" s="11"/>
      <c r="T35" s="11">
        <v>1.53</v>
      </c>
    </row>
    <row r="36" spans="2:20" x14ac:dyDescent="0.2">
      <c r="B36" s="11" t="s">
        <v>33</v>
      </c>
      <c r="C36" s="11" t="s">
        <v>91</v>
      </c>
      <c r="D36" s="11" t="s">
        <v>174</v>
      </c>
      <c r="E36" s="11"/>
      <c r="F36" s="11"/>
      <c r="G36" s="11"/>
      <c r="H36" s="11"/>
      <c r="I36" s="11"/>
      <c r="J36" s="11"/>
      <c r="K36" s="11"/>
      <c r="L36" s="11">
        <v>45</v>
      </c>
      <c r="M36" s="11"/>
      <c r="N36" s="11"/>
      <c r="O36" s="11"/>
      <c r="P36" s="11"/>
      <c r="Q36" s="11"/>
      <c r="R36" s="11"/>
      <c r="S36" s="11"/>
      <c r="T36" s="11">
        <v>45</v>
      </c>
    </row>
    <row r="37" spans="2:20" x14ac:dyDescent="0.2">
      <c r="B37" s="11"/>
      <c r="C37" s="11" t="s">
        <v>197</v>
      </c>
      <c r="D37" s="11"/>
      <c r="E37" s="11"/>
      <c r="F37" s="11"/>
      <c r="G37" s="11"/>
      <c r="H37" s="11"/>
      <c r="I37" s="11"/>
      <c r="J37" s="11"/>
      <c r="K37" s="11"/>
      <c r="L37" s="11">
        <v>45</v>
      </c>
      <c r="M37" s="11"/>
      <c r="N37" s="11"/>
      <c r="O37" s="11"/>
      <c r="P37" s="11"/>
      <c r="Q37" s="11"/>
      <c r="R37" s="11"/>
      <c r="S37" s="11"/>
      <c r="T37" s="11">
        <v>45</v>
      </c>
    </row>
    <row r="38" spans="2:20" x14ac:dyDescent="0.2">
      <c r="B38" s="11"/>
      <c r="C38" s="11" t="s">
        <v>93</v>
      </c>
      <c r="D38" s="11">
        <v>1</v>
      </c>
      <c r="E38" s="11"/>
      <c r="F38" s="11"/>
      <c r="G38" s="11"/>
      <c r="H38" s="11"/>
      <c r="I38" s="11"/>
      <c r="J38" s="11"/>
      <c r="K38" s="11"/>
      <c r="L38" s="11">
        <v>60</v>
      </c>
      <c r="M38" s="11"/>
      <c r="N38" s="11"/>
      <c r="O38" s="11"/>
      <c r="P38" s="11"/>
      <c r="Q38" s="11"/>
      <c r="R38" s="11"/>
      <c r="S38" s="11"/>
      <c r="T38" s="11">
        <v>60</v>
      </c>
    </row>
    <row r="39" spans="2:20" x14ac:dyDescent="0.2">
      <c r="B39" s="11"/>
      <c r="C39" s="11" t="s">
        <v>198</v>
      </c>
      <c r="D39" s="11"/>
      <c r="E39" s="11"/>
      <c r="F39" s="11"/>
      <c r="G39" s="11"/>
      <c r="H39" s="11"/>
      <c r="I39" s="11"/>
      <c r="J39" s="11"/>
      <c r="K39" s="11"/>
      <c r="L39" s="11">
        <v>60</v>
      </c>
      <c r="M39" s="11"/>
      <c r="N39" s="11"/>
      <c r="O39" s="11"/>
      <c r="P39" s="11"/>
      <c r="Q39" s="11"/>
      <c r="R39" s="11"/>
      <c r="S39" s="11"/>
      <c r="T39" s="11">
        <v>60</v>
      </c>
    </row>
    <row r="40" spans="2:20" x14ac:dyDescent="0.2">
      <c r="B40" s="11" t="s">
        <v>199</v>
      </c>
      <c r="C40" s="11"/>
      <c r="D40" s="11"/>
      <c r="E40" s="11"/>
      <c r="F40" s="11"/>
      <c r="G40" s="11"/>
      <c r="H40" s="11"/>
      <c r="I40" s="11"/>
      <c r="J40" s="11"/>
      <c r="K40" s="11"/>
      <c r="L40" s="11">
        <v>45</v>
      </c>
      <c r="M40" s="11"/>
      <c r="N40" s="11"/>
      <c r="O40" s="11"/>
      <c r="P40" s="11"/>
      <c r="Q40" s="11"/>
      <c r="R40" s="11"/>
      <c r="S40" s="11"/>
      <c r="T40" s="11">
        <v>45</v>
      </c>
    </row>
    <row r="41" spans="2:20" x14ac:dyDescent="0.2">
      <c r="B41" s="11" t="s">
        <v>11</v>
      </c>
      <c r="C41" s="11" t="s">
        <v>200</v>
      </c>
      <c r="D41" s="11" t="s">
        <v>169</v>
      </c>
      <c r="E41" s="11"/>
      <c r="F41" s="11"/>
      <c r="G41" s="11">
        <v>28.5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>
        <v>28.5</v>
      </c>
    </row>
    <row r="42" spans="2:20" x14ac:dyDescent="0.2">
      <c r="B42" s="11"/>
      <c r="C42" s="11"/>
      <c r="D42" s="11" t="s">
        <v>170</v>
      </c>
      <c r="E42" s="11"/>
      <c r="F42" s="11"/>
      <c r="G42" s="11"/>
      <c r="H42" s="11">
        <v>30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>
        <v>30</v>
      </c>
    </row>
    <row r="43" spans="2:20" x14ac:dyDescent="0.2">
      <c r="B43" s="11"/>
      <c r="C43" s="11" t="s">
        <v>201</v>
      </c>
      <c r="D43" s="11"/>
      <c r="E43" s="11"/>
      <c r="F43" s="11"/>
      <c r="G43" s="11">
        <v>28.5</v>
      </c>
      <c r="H43" s="11">
        <v>30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>
        <v>28.5</v>
      </c>
    </row>
    <row r="44" spans="2:20" x14ac:dyDescent="0.2">
      <c r="B44" s="11"/>
      <c r="C44" s="11" t="s">
        <v>202</v>
      </c>
      <c r="D44" s="11" t="s">
        <v>171</v>
      </c>
      <c r="E44" s="11"/>
      <c r="F44" s="11"/>
      <c r="G44" s="11"/>
      <c r="H44" s="11"/>
      <c r="I44" s="11">
        <v>25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>
        <v>25</v>
      </c>
    </row>
    <row r="45" spans="2:20" x14ac:dyDescent="0.2">
      <c r="B45" s="11"/>
      <c r="C45" s="11" t="s">
        <v>203</v>
      </c>
      <c r="D45" s="11"/>
      <c r="E45" s="11"/>
      <c r="F45" s="11"/>
      <c r="G45" s="11"/>
      <c r="H45" s="11"/>
      <c r="I45" s="11">
        <v>25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>
        <v>25</v>
      </c>
    </row>
    <row r="46" spans="2:20" x14ac:dyDescent="0.2">
      <c r="B46" s="11" t="s">
        <v>204</v>
      </c>
      <c r="C46" s="11"/>
      <c r="D46" s="11"/>
      <c r="E46" s="11"/>
      <c r="F46" s="11"/>
      <c r="G46" s="11">
        <v>28.5</v>
      </c>
      <c r="H46" s="11">
        <v>30</v>
      </c>
      <c r="I46" s="11">
        <v>25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>
        <v>25</v>
      </c>
    </row>
    <row r="47" spans="2:20" x14ac:dyDescent="0.2">
      <c r="B47" s="11" t="s">
        <v>21</v>
      </c>
      <c r="C47" s="11" t="s">
        <v>129</v>
      </c>
      <c r="D47" s="11">
        <v>1</v>
      </c>
      <c r="E47" s="11">
        <v>600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>
        <v>600</v>
      </c>
    </row>
    <row r="48" spans="2:20" x14ac:dyDescent="0.2">
      <c r="B48" s="11"/>
      <c r="C48" s="11" t="s">
        <v>205</v>
      </c>
      <c r="D48" s="11"/>
      <c r="E48" s="11">
        <v>600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>
        <v>600</v>
      </c>
    </row>
    <row r="49" spans="2:20" x14ac:dyDescent="0.2">
      <c r="B49" s="11" t="s">
        <v>206</v>
      </c>
      <c r="C49" s="11"/>
      <c r="D49" s="11"/>
      <c r="E49" s="11">
        <v>600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>
        <v>600</v>
      </c>
    </row>
    <row r="50" spans="2:20" x14ac:dyDescent="0.2">
      <c r="B50" s="11" t="s">
        <v>19</v>
      </c>
      <c r="C50" s="11" t="s">
        <v>81</v>
      </c>
      <c r="D50" s="11">
        <v>1</v>
      </c>
      <c r="E50" s="11">
        <v>1000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>
        <v>1000</v>
      </c>
    </row>
    <row r="51" spans="2:20" x14ac:dyDescent="0.2">
      <c r="B51" s="11"/>
      <c r="C51" s="11"/>
      <c r="D51" s="11" t="s">
        <v>172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>
        <v>3500</v>
      </c>
      <c r="S51" s="11"/>
      <c r="T51" s="11">
        <v>3500</v>
      </c>
    </row>
    <row r="52" spans="2:20" x14ac:dyDescent="0.2">
      <c r="B52" s="11"/>
      <c r="C52" s="11" t="s">
        <v>207</v>
      </c>
      <c r="D52" s="11"/>
      <c r="E52" s="11">
        <v>1000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>
        <v>3500</v>
      </c>
      <c r="S52" s="11"/>
      <c r="T52" s="11">
        <v>1000</v>
      </c>
    </row>
    <row r="53" spans="2:20" x14ac:dyDescent="0.2">
      <c r="B53" s="11"/>
      <c r="C53" s="11" t="s">
        <v>83</v>
      </c>
      <c r="D53" s="11">
        <v>1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>
        <v>3700</v>
      </c>
      <c r="S53" s="11"/>
      <c r="T53" s="11">
        <v>3700</v>
      </c>
    </row>
    <row r="54" spans="2:20" x14ac:dyDescent="0.2">
      <c r="B54" s="11"/>
      <c r="C54" s="11" t="s">
        <v>208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>
        <v>3700</v>
      </c>
      <c r="S54" s="11"/>
      <c r="T54" s="11">
        <v>3700</v>
      </c>
    </row>
    <row r="55" spans="2:20" x14ac:dyDescent="0.2">
      <c r="B55" s="11" t="s">
        <v>209</v>
      </c>
      <c r="C55" s="11"/>
      <c r="D55" s="11"/>
      <c r="E55" s="11">
        <v>1000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>
        <v>3500</v>
      </c>
      <c r="S55" s="11"/>
      <c r="T55" s="11">
        <v>1000</v>
      </c>
    </row>
    <row r="56" spans="2:20" x14ac:dyDescent="0.2">
      <c r="B56" s="11" t="s">
        <v>27</v>
      </c>
      <c r="C56" s="11" t="s">
        <v>200</v>
      </c>
      <c r="D56" s="11">
        <v>1</v>
      </c>
      <c r="E56" s="11"/>
      <c r="F56" s="11"/>
      <c r="G56" s="11"/>
      <c r="H56" s="11"/>
      <c r="I56" s="11"/>
      <c r="J56" s="11"/>
      <c r="K56" s="11">
        <v>350</v>
      </c>
      <c r="L56" s="11"/>
      <c r="M56" s="11"/>
      <c r="N56" s="11"/>
      <c r="O56" s="11"/>
      <c r="P56" s="11"/>
      <c r="Q56" s="11"/>
      <c r="R56" s="11"/>
      <c r="S56" s="11"/>
      <c r="T56" s="11">
        <v>350</v>
      </c>
    </row>
    <row r="57" spans="2:20" x14ac:dyDescent="0.2">
      <c r="B57" s="11"/>
      <c r="C57" s="11" t="s">
        <v>201</v>
      </c>
      <c r="D57" s="11"/>
      <c r="E57" s="11"/>
      <c r="F57" s="11"/>
      <c r="G57" s="11"/>
      <c r="H57" s="11"/>
      <c r="I57" s="11"/>
      <c r="J57" s="11"/>
      <c r="K57" s="11">
        <v>350</v>
      </c>
      <c r="L57" s="11"/>
      <c r="M57" s="11"/>
      <c r="N57" s="11"/>
      <c r="O57" s="11"/>
      <c r="P57" s="11"/>
      <c r="Q57" s="11"/>
      <c r="R57" s="11"/>
      <c r="S57" s="11"/>
      <c r="T57" s="11">
        <v>350</v>
      </c>
    </row>
    <row r="58" spans="2:20" x14ac:dyDescent="0.2">
      <c r="B58" s="11" t="s">
        <v>210</v>
      </c>
      <c r="C58" s="11"/>
      <c r="D58" s="11"/>
      <c r="E58" s="11"/>
      <c r="F58" s="11"/>
      <c r="G58" s="11"/>
      <c r="H58" s="11"/>
      <c r="I58" s="11"/>
      <c r="J58" s="11"/>
      <c r="K58" s="11">
        <v>350</v>
      </c>
      <c r="L58" s="11"/>
      <c r="M58" s="11"/>
      <c r="N58" s="11"/>
      <c r="O58" s="11"/>
      <c r="P58" s="11"/>
      <c r="Q58" s="11"/>
      <c r="R58" s="11"/>
      <c r="S58" s="11"/>
      <c r="T58" s="11">
        <v>350</v>
      </c>
    </row>
    <row r="59" spans="2:20" x14ac:dyDescent="0.2">
      <c r="B59" s="11" t="s">
        <v>13</v>
      </c>
      <c r="C59" s="11" t="s">
        <v>77</v>
      </c>
      <c r="D59" s="11">
        <v>1</v>
      </c>
      <c r="E59" s="11"/>
      <c r="F59" s="11"/>
      <c r="G59" s="11"/>
      <c r="H59" s="11"/>
      <c r="I59" s="11">
        <v>65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>
        <v>65</v>
      </c>
    </row>
    <row r="60" spans="2:20" x14ac:dyDescent="0.2">
      <c r="B60" s="11"/>
      <c r="C60" s="11" t="s">
        <v>211</v>
      </c>
      <c r="D60" s="11"/>
      <c r="E60" s="11"/>
      <c r="F60" s="11"/>
      <c r="G60" s="11"/>
      <c r="H60" s="11"/>
      <c r="I60" s="11">
        <v>65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>
        <v>65</v>
      </c>
    </row>
    <row r="61" spans="2:20" x14ac:dyDescent="0.2">
      <c r="B61" s="11"/>
      <c r="C61" s="11" t="s">
        <v>79</v>
      </c>
      <c r="D61" s="11">
        <v>1</v>
      </c>
      <c r="E61" s="11"/>
      <c r="F61" s="11"/>
      <c r="G61" s="11"/>
      <c r="H61" s="11"/>
      <c r="I61" s="11">
        <v>55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>
        <v>55</v>
      </c>
    </row>
    <row r="62" spans="2:20" x14ac:dyDescent="0.2">
      <c r="B62" s="11"/>
      <c r="C62" s="11" t="s">
        <v>212</v>
      </c>
      <c r="D62" s="11"/>
      <c r="E62" s="11"/>
      <c r="F62" s="11"/>
      <c r="G62" s="11"/>
      <c r="H62" s="11"/>
      <c r="I62" s="11">
        <v>55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>
        <v>55</v>
      </c>
    </row>
    <row r="63" spans="2:20" x14ac:dyDescent="0.2">
      <c r="B63" s="11" t="s">
        <v>213</v>
      </c>
      <c r="C63" s="11"/>
      <c r="D63" s="11"/>
      <c r="E63" s="11"/>
      <c r="F63" s="11"/>
      <c r="G63" s="11"/>
      <c r="H63" s="11"/>
      <c r="I63" s="11">
        <v>55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>
        <v>55</v>
      </c>
    </row>
    <row r="64" spans="2:20" x14ac:dyDescent="0.2">
      <c r="B64" s="11" t="s">
        <v>8</v>
      </c>
      <c r="C64" s="11" t="s">
        <v>61</v>
      </c>
      <c r="D64" s="11" t="s">
        <v>166</v>
      </c>
      <c r="E64" s="11">
        <v>523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>
        <v>523</v>
      </c>
    </row>
    <row r="65" spans="2:20" x14ac:dyDescent="0.2">
      <c r="B65" s="11"/>
      <c r="C65" s="11"/>
      <c r="D65" s="11" t="s">
        <v>167</v>
      </c>
      <c r="E65" s="11"/>
      <c r="F65" s="11">
        <v>565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>
        <v>565</v>
      </c>
    </row>
    <row r="66" spans="2:20" x14ac:dyDescent="0.2">
      <c r="B66" s="11"/>
      <c r="C66" s="11"/>
      <c r="D66" s="11" t="s">
        <v>168</v>
      </c>
      <c r="E66" s="11"/>
      <c r="F66" s="11"/>
      <c r="G66" s="11">
        <v>480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>
        <v>480</v>
      </c>
    </row>
    <row r="67" spans="2:20" x14ac:dyDescent="0.2">
      <c r="B67" s="11"/>
      <c r="C67" s="11" t="s">
        <v>214</v>
      </c>
      <c r="D67" s="11"/>
      <c r="E67" s="11">
        <v>523</v>
      </c>
      <c r="F67" s="11">
        <v>565</v>
      </c>
      <c r="G67" s="11">
        <v>480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>
        <v>480</v>
      </c>
    </row>
    <row r="68" spans="2:20" x14ac:dyDescent="0.2">
      <c r="B68" s="11"/>
      <c r="C68" s="11" t="s">
        <v>63</v>
      </c>
      <c r="D68" s="11">
        <v>1</v>
      </c>
      <c r="E68" s="11">
        <v>528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>
        <v>528</v>
      </c>
    </row>
    <row r="69" spans="2:20" x14ac:dyDescent="0.2">
      <c r="B69" s="11"/>
      <c r="C69" s="11" t="s">
        <v>215</v>
      </c>
      <c r="D69" s="11"/>
      <c r="E69" s="11">
        <v>528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>
        <v>528</v>
      </c>
    </row>
    <row r="70" spans="2:20" x14ac:dyDescent="0.2">
      <c r="B70" s="11"/>
      <c r="C70" s="11" t="s">
        <v>65</v>
      </c>
      <c r="D70" s="11">
        <v>1</v>
      </c>
      <c r="E70" s="11">
        <v>523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>
        <v>523</v>
      </c>
    </row>
    <row r="71" spans="2:20" x14ac:dyDescent="0.2">
      <c r="B71" s="11"/>
      <c r="C71" s="11" t="s">
        <v>216</v>
      </c>
      <c r="D71" s="11"/>
      <c r="E71" s="11">
        <v>523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>
        <v>523</v>
      </c>
    </row>
    <row r="72" spans="2:20" x14ac:dyDescent="0.2">
      <c r="B72" s="11" t="s">
        <v>217</v>
      </c>
      <c r="C72" s="11"/>
      <c r="D72" s="11"/>
      <c r="E72" s="11">
        <v>523</v>
      </c>
      <c r="F72" s="11">
        <v>565</v>
      </c>
      <c r="G72" s="11">
        <v>480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>
        <v>480</v>
      </c>
    </row>
    <row r="73" spans="2:20" x14ac:dyDescent="0.2">
      <c r="B73" s="11" t="s">
        <v>42</v>
      </c>
      <c r="C73" s="11" t="s">
        <v>111</v>
      </c>
      <c r="D73" s="11">
        <v>1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>
        <v>25</v>
      </c>
      <c r="P73" s="11"/>
      <c r="Q73" s="11"/>
      <c r="R73" s="11"/>
      <c r="S73" s="11"/>
      <c r="T73" s="11">
        <v>25</v>
      </c>
    </row>
    <row r="74" spans="2:20" x14ac:dyDescent="0.2">
      <c r="B74" s="11"/>
      <c r="C74" s="11" t="s">
        <v>218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>
        <v>25</v>
      </c>
      <c r="P74" s="11"/>
      <c r="Q74" s="11"/>
      <c r="R74" s="11"/>
      <c r="S74" s="11"/>
      <c r="T74" s="11">
        <v>25</v>
      </c>
    </row>
    <row r="75" spans="2:20" x14ac:dyDescent="0.2">
      <c r="B75" s="11"/>
      <c r="C75" s="11" t="s">
        <v>113</v>
      </c>
      <c r="D75" s="11">
        <v>1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>
        <v>30</v>
      </c>
      <c r="P75" s="11"/>
      <c r="Q75" s="11"/>
      <c r="R75" s="11"/>
      <c r="S75" s="11"/>
      <c r="T75" s="11">
        <v>30</v>
      </c>
    </row>
    <row r="76" spans="2:20" x14ac:dyDescent="0.2">
      <c r="B76" s="11"/>
      <c r="C76" s="11" t="s">
        <v>219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>
        <v>30</v>
      </c>
      <c r="P76" s="11"/>
      <c r="Q76" s="11"/>
      <c r="R76" s="11"/>
      <c r="S76" s="11"/>
      <c r="T76" s="11">
        <v>30</v>
      </c>
    </row>
    <row r="77" spans="2:20" x14ac:dyDescent="0.2">
      <c r="B77" s="11"/>
      <c r="C77" s="11" t="s">
        <v>117</v>
      </c>
      <c r="D77" s="11" t="s">
        <v>173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>
        <v>40</v>
      </c>
      <c r="P77" s="11"/>
      <c r="Q77" s="11"/>
      <c r="R77" s="11"/>
      <c r="S77" s="11"/>
      <c r="T77" s="11">
        <v>40</v>
      </c>
    </row>
    <row r="78" spans="2:20" x14ac:dyDescent="0.2">
      <c r="B78" s="11"/>
      <c r="C78" s="11" t="s">
        <v>220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>
        <v>40</v>
      </c>
      <c r="P78" s="11"/>
      <c r="Q78" s="11"/>
      <c r="R78" s="11"/>
      <c r="S78" s="11"/>
      <c r="T78" s="11">
        <v>40</v>
      </c>
    </row>
    <row r="79" spans="2:20" x14ac:dyDescent="0.2">
      <c r="B79" s="11" t="s">
        <v>221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>
        <v>25</v>
      </c>
      <c r="P79" s="11"/>
      <c r="Q79" s="11"/>
      <c r="R79" s="11"/>
      <c r="S79" s="11"/>
      <c r="T79" s="11">
        <v>25</v>
      </c>
    </row>
    <row r="80" spans="2:20" x14ac:dyDescent="0.2">
      <c r="B80" s="11" t="s">
        <v>178</v>
      </c>
      <c r="C80" s="11"/>
      <c r="D80" s="11"/>
      <c r="E80" s="11">
        <v>523</v>
      </c>
      <c r="F80" s="11">
        <v>565</v>
      </c>
      <c r="G80" s="11">
        <v>28.5</v>
      </c>
      <c r="H80" s="11">
        <v>30</v>
      </c>
      <c r="I80" s="11">
        <v>25</v>
      </c>
      <c r="J80" s="11">
        <v>350</v>
      </c>
      <c r="K80" s="11">
        <v>350</v>
      </c>
      <c r="L80" s="11">
        <v>45</v>
      </c>
      <c r="M80" s="11">
        <v>90</v>
      </c>
      <c r="N80" s="11">
        <v>120</v>
      </c>
      <c r="O80" s="11">
        <v>25</v>
      </c>
      <c r="P80" s="11">
        <v>1.53</v>
      </c>
      <c r="Q80" s="11">
        <v>800</v>
      </c>
      <c r="R80" s="11">
        <v>3500</v>
      </c>
      <c r="S80" s="11">
        <v>75</v>
      </c>
      <c r="T80" s="11">
        <v>1.53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Variants</vt:lpstr>
      <vt:lpstr>Vendors</vt:lpstr>
      <vt:lpstr>Vendor_Prices</vt:lpstr>
      <vt:lpstr>PivotValues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Supakorn Emchananon</cp:lastModifiedBy>
  <cp:revision/>
  <dcterms:created xsi:type="dcterms:W3CDTF">2026-07-31T12:05:21Z</dcterms:created>
  <dcterms:modified xsi:type="dcterms:W3CDTF">2026-08-04T08:41:48Z</dcterms:modified>
  <cp:category/>
  <cp:contentStatus/>
</cp:coreProperties>
</file>