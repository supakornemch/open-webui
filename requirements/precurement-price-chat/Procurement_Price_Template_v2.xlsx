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upakorn.emch/Workspace/Haadthip/EnterpriseChat/requirements/precurement-price-chat/"/>
    </mc:Choice>
  </mc:AlternateContent>
  <xr:revisionPtr revIDLastSave="0" documentId="11_0927CA97ECFA7C867A3E25B297DA3E3DE12B4D49" xr6:coauthVersionLast="47" xr6:coauthVersionMax="47" xr10:uidLastSave="{00000000-0000-0000-0000-000000000000}"/>
  <bookViews>
    <workbookView xWindow="4500" yWindow="3140" windowWidth="29400" windowHeight="18460" activeTab="4" xr2:uid="{00000000-000D-0000-FFFF-FFFF00000000}"/>
  </bookViews>
  <sheets>
    <sheet name="README" sheetId="1" r:id="rId1"/>
    <sheet name="Products" sheetId="2" r:id="rId2"/>
    <sheet name="Variants" sheetId="3" r:id="rId3"/>
    <sheet name="Vendors" sheetId="4" r:id="rId4"/>
    <sheet name="Vendor_Pri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33" i="3"/>
  <c r="C32" i="3"/>
  <c r="C31" i="3"/>
  <c r="C30" i="3"/>
  <c r="F29" i="5" s="1"/>
  <c r="C29" i="3"/>
  <c r="C28" i="3"/>
  <c r="C27" i="3"/>
  <c r="C26" i="3"/>
  <c r="C25" i="3"/>
  <c r="C24" i="3"/>
  <c r="C23" i="3"/>
  <c r="C22" i="3"/>
  <c r="C21" i="3"/>
  <c r="C20" i="3"/>
  <c r="C19" i="3"/>
  <c r="F20" i="5" s="1"/>
  <c r="C18" i="3"/>
  <c r="C17" i="3"/>
  <c r="C16" i="3"/>
  <c r="C15" i="3"/>
  <c r="C14" i="3"/>
  <c r="C13" i="3"/>
  <c r="F13" i="5" s="1"/>
  <c r="C12" i="3"/>
  <c r="C11" i="3"/>
  <c r="C10" i="3"/>
  <c r="C9" i="3"/>
  <c r="C8" i="3"/>
  <c r="C7" i="3"/>
  <c r="C6" i="3"/>
  <c r="C5" i="3"/>
  <c r="C4" i="3"/>
  <c r="C3" i="3"/>
  <c r="C2" i="3"/>
  <c r="J37" i="5"/>
  <c r="E37" i="5"/>
  <c r="J36" i="5"/>
  <c r="E36" i="5"/>
  <c r="J35" i="5"/>
  <c r="E35" i="5"/>
  <c r="J34" i="5"/>
  <c r="E34" i="5"/>
  <c r="J33" i="5"/>
  <c r="F33" i="5"/>
  <c r="E33" i="5"/>
  <c r="J32" i="5"/>
  <c r="F32" i="5"/>
  <c r="E32" i="5"/>
  <c r="J31" i="5"/>
  <c r="F31" i="5"/>
  <c r="E31" i="5"/>
  <c r="J30" i="5"/>
  <c r="F30" i="5"/>
  <c r="E30" i="5"/>
  <c r="J29" i="5"/>
  <c r="E29" i="5"/>
  <c r="J28" i="5"/>
  <c r="F28" i="5"/>
  <c r="E28" i="5"/>
  <c r="J27" i="5"/>
  <c r="F27" i="5"/>
  <c r="E27" i="5"/>
  <c r="J26" i="5"/>
  <c r="F26" i="5"/>
  <c r="E26" i="5"/>
  <c r="J25" i="5"/>
  <c r="F25" i="5"/>
  <c r="E25" i="5"/>
  <c r="J24" i="5"/>
  <c r="E24" i="5"/>
  <c r="J23" i="5"/>
  <c r="F23" i="5"/>
  <c r="E23" i="5"/>
  <c r="J22" i="5"/>
  <c r="F22" i="5"/>
  <c r="E22" i="5"/>
  <c r="J21" i="5"/>
  <c r="F21" i="5"/>
  <c r="E21" i="5"/>
  <c r="J20" i="5"/>
  <c r="E20" i="5"/>
  <c r="J19" i="5"/>
  <c r="F19" i="5"/>
  <c r="E19" i="5"/>
  <c r="J18" i="5"/>
  <c r="F18" i="5"/>
  <c r="E18" i="5"/>
  <c r="J17" i="5"/>
  <c r="F17" i="5"/>
  <c r="E17" i="5"/>
  <c r="J16" i="5"/>
  <c r="F16" i="5"/>
  <c r="E16" i="5"/>
  <c r="J15" i="5"/>
  <c r="F15" i="5"/>
  <c r="E15" i="5"/>
  <c r="J14" i="5"/>
  <c r="F14" i="5"/>
  <c r="E14" i="5"/>
  <c r="J13" i="5"/>
  <c r="E13" i="5"/>
  <c r="J12" i="5"/>
  <c r="F12" i="5"/>
  <c r="E12" i="5"/>
  <c r="J11" i="5"/>
  <c r="F11" i="5"/>
  <c r="E11" i="5"/>
  <c r="J10" i="5"/>
  <c r="F10" i="5"/>
  <c r="E10" i="5"/>
  <c r="J9" i="5"/>
  <c r="F9" i="5"/>
  <c r="E9" i="5"/>
  <c r="J8" i="5"/>
  <c r="F8" i="5"/>
  <c r="E8" i="5"/>
  <c r="J7" i="5"/>
  <c r="F7" i="5"/>
  <c r="E7" i="5"/>
  <c r="J6" i="5"/>
  <c r="F6" i="5"/>
  <c r="E6" i="5"/>
  <c r="J5" i="5"/>
  <c r="F5" i="5"/>
  <c r="E5" i="5"/>
  <c r="J4" i="5"/>
  <c r="F4" i="5"/>
  <c r="E4" i="5"/>
  <c r="J3" i="5"/>
  <c r="F3" i="5"/>
  <c r="E3" i="5"/>
  <c r="J2" i="5"/>
  <c r="F2" i="5"/>
  <c r="E2" i="5"/>
  <c r="F24" i="5" l="1"/>
</calcChain>
</file>

<file path=xl/sharedStrings.xml><?xml version="1.0" encoding="utf-8"?>
<sst xmlns="http://schemas.openxmlformats.org/spreadsheetml/2006/main" count="358" uniqueCount="174">
  <si>
    <t>Product Code</t>
  </si>
  <si>
    <t>Variant Code</t>
  </si>
  <si>
    <t>Vendor Code</t>
  </si>
  <si>
    <t>Year</t>
  </si>
  <si>
    <t>Product Name</t>
  </si>
  <si>
    <t>Product Description</t>
  </si>
  <si>
    <t>Price</t>
  </si>
  <si>
    <t>Qty</t>
  </si>
  <si>
    <t>Qty Range</t>
  </si>
  <si>
    <t>Vendor Name</t>
  </si>
  <si>
    <t>Notes</t>
  </si>
  <si>
    <t>POSM-001</t>
  </si>
  <si>
    <t>POSM-001-V1</t>
  </si>
  <si>
    <t>VEN-A</t>
  </si>
  <si>
    <t>1-99 ชิ้น</t>
  </si>
  <si>
    <t>VEN-B</t>
  </si>
  <si>
    <t>100-499 ชิ้น</t>
  </si>
  <si>
    <t>VEN-C</t>
  </si>
  <si>
    <t>500+ ชิ้น</t>
  </si>
  <si>
    <t>POSM-001-V2</t>
  </si>
  <si>
    <t>POSM-001-V3</t>
  </si>
  <si>
    <t>POSM-002</t>
  </si>
  <si>
    <t>1-49 ชิ้น</t>
  </si>
  <si>
    <t>VEN-D</t>
  </si>
  <si>
    <t>50-199 ชิ้น</t>
  </si>
  <si>
    <t>VEN-E</t>
  </si>
  <si>
    <t>200+ ชิ้น</t>
  </si>
  <si>
    <t>POSM-003</t>
  </si>
  <si>
    <t>POSM-003-V1</t>
  </si>
  <si>
    <t>POSM-003-V2</t>
  </si>
  <si>
    <t>POSM-006</t>
  </si>
  <si>
    <t>POSM-006-V1</t>
  </si>
  <si>
    <t>VEN-N</t>
  </si>
  <si>
    <t>1-999 ชิ้น</t>
  </si>
  <si>
    <t>POSM-006-V2</t>
  </si>
  <si>
    <t>PRINT-001</t>
  </si>
  <si>
    <t>PRINT-001-V1</t>
  </si>
  <si>
    <t>VEN-F</t>
  </si>
  <si>
    <t>PRINT-001-V2</t>
  </si>
  <si>
    <t>1000+ ชิ้น</t>
  </si>
  <si>
    <t>PRINT-001-V3</t>
  </si>
  <si>
    <t>PRINT-002</t>
  </si>
  <si>
    <t>VEN-G</t>
  </si>
  <si>
    <t>PRINT-005</t>
  </si>
  <si>
    <t>PRINT-005-V1</t>
  </si>
  <si>
    <t>VEN-H</t>
  </si>
  <si>
    <t>1-24 ชิ้น</t>
  </si>
  <si>
    <t>PRINT-005-V2</t>
  </si>
  <si>
    <t>GARMT-001</t>
  </si>
  <si>
    <t>GARMT-001-V1</t>
  </si>
  <si>
    <t>VEN-I</t>
  </si>
  <si>
    <t>25-99 ชิ้น</t>
  </si>
  <si>
    <t>GARMT-001-V2</t>
  </si>
  <si>
    <t>GARMT-001-V3</t>
  </si>
  <si>
    <t>GARMT-001-V4</t>
  </si>
  <si>
    <t>VEN-O</t>
  </si>
  <si>
    <t>GARMT-002</t>
  </si>
  <si>
    <t>GARMT-002-V1</t>
  </si>
  <si>
    <t>VEN-J</t>
  </si>
  <si>
    <t>GARMT-002-V3</t>
  </si>
  <si>
    <t>500-999 ชิ้น</t>
  </si>
  <si>
    <t>GARMT-004</t>
  </si>
  <si>
    <t>GARMT-004-V1</t>
  </si>
  <si>
    <t>VEN-K</t>
  </si>
  <si>
    <t>GARMT-004-V2</t>
  </si>
  <si>
    <t>GARMT-004-V4</t>
  </si>
  <si>
    <t>PREM-001</t>
  </si>
  <si>
    <t>PREM-001-V1</t>
  </si>
  <si>
    <t>VEN-L</t>
  </si>
  <si>
    <t>PREM-001-V2</t>
  </si>
  <si>
    <t>PREM-004</t>
  </si>
  <si>
    <t>PREM-004-V1</t>
  </si>
  <si>
    <t>VEN-M</t>
  </si>
  <si>
    <t>PREM-004-V2</t>
  </si>
  <si>
    <t>Category</t>
  </si>
  <si>
    <t>Pricing Model</t>
  </si>
  <si>
    <t>Has Variants</t>
  </si>
  <si>
    <t>Related Products Code</t>
  </si>
  <si>
    <t>Example</t>
  </si>
  <si>
    <t>POSM(MKT)</t>
  </si>
  <si>
    <t>ร่มโค้ก</t>
  </si>
  <si>
    <t>ต่อชิ้น</t>
  </si>
  <si>
    <t>TRUE</t>
  </si>
  <si>
    <t>กล่องทิชชู-โค้ก</t>
  </si>
  <si>
    <t>FALSE</t>
  </si>
  <si>
    <t>ผ้ากันเปื้อนโคคา-โคล่า</t>
  </si>
  <si>
    <t>POSM-004</t>
  </si>
  <si>
    <t>ถังใส่น้ำแข็ง-โค้ก</t>
  </si>
  <si>
    <t>POSM-005</t>
  </si>
  <si>
    <t>กล่องใส่ช้อน/ตะเกียบ</t>
  </si>
  <si>
    <t>Printing(MKT)</t>
  </si>
  <si>
    <t>Mega Rack</t>
  </si>
  <si>
    <t>PP Board</t>
  </si>
  <si>
    <t>ป้ายรายการอาหารโค้ก</t>
  </si>
  <si>
    <t>PRINT-003</t>
  </si>
  <si>
    <t>แบนเนอร์โค้ก</t>
  </si>
  <si>
    <t>PRINT-004</t>
  </si>
  <si>
    <t>ผ้าใบกันสาด-โค้ก</t>
  </si>
  <si>
    <t>แผ่นริจิ-โค้ก</t>
  </si>
  <si>
    <t>Garment</t>
  </si>
  <si>
    <t>เสื้อยืด</t>
  </si>
  <si>
    <t>เสื้อโปโล TC</t>
  </si>
  <si>
    <t>GARMT-003</t>
  </si>
  <si>
    <t>เสื้อโปโล ผ้าไมโคร</t>
  </si>
  <si>
    <t>สกรีน</t>
  </si>
  <si>
    <t>Premium</t>
  </si>
  <si>
    <t>แก้วกระดาษ</t>
  </si>
  <si>
    <t>PREM-003</t>
  </si>
  <si>
    <t>ร่มเสาข้าง</t>
  </si>
  <si>
    <t>Bean Bag</t>
  </si>
  <si>
    <t>PRINTR-001</t>
  </si>
  <si>
    <t>Printing-Rate</t>
  </si>
  <si>
    <t>ป้ายไวนิล  แบบปล่อยชาย</t>
  </si>
  <si>
    <t>ต่อ ตรม.</t>
  </si>
  <si>
    <t>1m*3m=3m</t>
  </si>
  <si>
    <t>PRINTR-002</t>
  </si>
  <si>
    <t>ป้ายไวนิลหลังดำ  แบบปล่อยชาย</t>
  </si>
  <si>
    <t>Description</t>
  </si>
  <si>
    <t>36 นิ้ว โครงเหล็ก สีตาย (ไม่เกิน 4 สี)</t>
  </si>
  <si>
    <t>36 นิ้ว โครงเหล็ก ไล่ระดับสี (ไม่เกิน 8 เฉด)</t>
  </si>
  <si>
    <t>36 นิ้ว โครงไฟเบอร์ สีตาย (ไม่เกิน 4 สี)</t>
  </si>
  <si>
    <t>POSM-001-V4</t>
  </si>
  <si>
    <t>36 นิ้ว โครงไฟเบอร์ ไล่ระดับสี (ไม่เกิน 8 เฉด)</t>
  </si>
  <si>
    <t>POSM-001-V5</t>
  </si>
  <si>
    <t>40 นิ้ว โครงเหล็ก สีตาย (ไม่เกิน 4 สี)</t>
  </si>
  <si>
    <t>POSM-001-V6</t>
  </si>
  <si>
    <t>40 นิ้ว โครงเหล็ก ไล่ระดับสี (ไม่เกิน 8 เฉด)</t>
  </si>
  <si>
    <t>POSM-001-V7</t>
  </si>
  <si>
    <t>40 นิ้ว โครงไฟเบอร์ สีตาย (ไม่เกิน 4 สี)</t>
  </si>
  <si>
    <t>POSM-001-V8</t>
  </si>
  <si>
    <t>40 นิ้ว โครงไฟเบอร์ ไล่ระดับสี (ไม่เกิน 8 เฉด)</t>
  </si>
  <si>
    <t>เอี้ยม (เต็มตัว) ไขว้หลัง</t>
  </si>
  <si>
    <t>ครึ่งตัว</t>
  </si>
  <si>
    <t>120x40x150 cm (TT-DSD)</t>
  </si>
  <si>
    <t>150x60x150 cm (WS)</t>
  </si>
  <si>
    <t>120x120 cm (โค้กเขียนชื่อร้านค้า)</t>
  </si>
  <si>
    <t>85x190 cm (ป้ายหน้าเคาน์เตอร์)</t>
  </si>
  <si>
    <t>70x150 cm (ป้ายหน้าเคาน์เตอร์)</t>
  </si>
  <si>
    <t>16x24 นิ้ว</t>
  </si>
  <si>
    <t>24x32 นิ้ว</t>
  </si>
  <si>
    <t>สีขาว</t>
  </si>
  <si>
    <t>สีอ่อน</t>
  </si>
  <si>
    <t>สีกลาง</t>
  </si>
  <si>
    <t>สีเข้ม</t>
  </si>
  <si>
    <t>ผ้า TC สีขาว</t>
  </si>
  <si>
    <t>GARMT-002-V2</t>
  </si>
  <si>
    <t>ผ้า TC สีอ่อน</t>
  </si>
  <si>
    <t>ผ้า TC สีกลาง</t>
  </si>
  <si>
    <t>GARMT-002-V4</t>
  </si>
  <si>
    <t>ผ้า TC สีเข้ม</t>
  </si>
  <si>
    <t>1 สี</t>
  </si>
  <si>
    <t>2 สี</t>
  </si>
  <si>
    <t>GARMT-004-V3</t>
  </si>
  <si>
    <t>3 สี</t>
  </si>
  <si>
    <t>4 สี</t>
  </si>
  <si>
    <t>หนังชามัวร์</t>
  </si>
  <si>
    <t>วัสดุผ้า</t>
  </si>
  <si>
    <t>6.5 ออนซ์</t>
  </si>
  <si>
    <t>22 ออนซ์</t>
  </si>
  <si>
    <t>Vendor A</t>
  </si>
  <si>
    <t>Vendor B</t>
  </si>
  <si>
    <t>Vendor C</t>
  </si>
  <si>
    <t>Vendor D</t>
  </si>
  <si>
    <t>Vendor E</t>
  </si>
  <si>
    <t>Vendor F</t>
  </si>
  <si>
    <t>Vendor G</t>
  </si>
  <si>
    <t>Vendor H</t>
  </si>
  <si>
    <t>Vendor I</t>
  </si>
  <si>
    <t>Vendor J</t>
  </si>
  <si>
    <t>Vendor K</t>
  </si>
  <si>
    <t>Vendor L</t>
  </si>
  <si>
    <t>Vendor M</t>
  </si>
  <si>
    <t>Vendor N</t>
  </si>
  <si>
    <t>Vendor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</si>
</sst>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THB&quot;* #,##0.00_);_(&quot;THB&quot;* \(#,##0.00\);_(&quot;THB&quot;* &quot;-&quot;??_);_(@_)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9B59B6"/>
        <bgColor rgb="FF9B59B6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0" applyNumberFormat="1"/>
    <xf numFmtId="0" fontId="6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15"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9B59B6"/>
          <bgColor rgb="FF9B59B6"/>
        </patternFill>
      </fill>
      <alignment horizontal="center" vertical="bottom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70AD47"/>
          <bgColor rgb="FF70AD47"/>
        </patternFill>
      </fill>
      <alignment horizontal="center" vertical="bottom"/>
    </dxf>
    <dxf>
      <alignment horizontal="left" vertical="center"/>
    </dxf>
    <dxf>
      <numFmt numFmtId="0" formatCode="General"/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4472C4"/>
          <bgColor rgb="FF4472C4"/>
        </patternFill>
      </fill>
      <alignment horizontal="left" vertical="center"/>
    </dxf>
    <dxf>
      <numFmt numFmtId="34" formatCode="_(&quot;THB&quot;* #,##0.00_);_(&quot;THB&quot;* \(#,##0.00\);_(&quot;THB&quot;* &quot;-&quot;??_);_(@_)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</font>
      <fill>
        <patternFill patternType="solid">
          <fgColor rgb="FFFFC000"/>
          <bgColor rgb="FFFFC000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1" totalsRowShown="0" headerRowDxfId="11" dataDxfId="10">
  <autoFilter ref="A1:G21" xr:uid="{00000000-0009-0000-0100-000001000000}"/>
  <tableColumns count="7">
    <tableColumn id="1" xr3:uid="{00000000-0010-0000-0000-000001000000}" name="Product Code" dataDxfId="9"/>
    <tableColumn id="2" xr3:uid="{00000000-0010-0000-0000-000002000000}" name="Category" dataDxfId="8"/>
    <tableColumn id="3" xr3:uid="{00000000-0010-0000-0000-000003000000}" name="Product Name" dataDxfId="7"/>
    <tableColumn id="4" xr3:uid="{00000000-0010-0000-0000-000004000000}" name="Pricing Model" dataDxfId="6"/>
    <tableColumn id="5" xr3:uid="{00000000-0010-0000-0000-000005000000}" name="Has Variants" dataDxfId="5"/>
    <tableColumn id="6" xr3:uid="{00000000-0010-0000-0000-000006000000}" name="Related Products Code" dataDxfId="4"/>
    <tableColumn id="7" xr3:uid="{00000000-0010-0000-0000-000007000000}" name="Example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4" totalsRowShown="0" headerRowDxfId="2">
  <autoFilter ref="A1:E34" xr:uid="{00000000-0009-0000-0100-000002000000}"/>
  <tableColumns count="5">
    <tableColumn id="1" xr3:uid="{00000000-0010-0000-0100-000001000000}" name="Product Code"/>
    <tableColumn id="2" xr3:uid="{00000000-0010-0000-0100-000002000000}" name="Variant Code"/>
    <tableColumn id="5" xr3:uid="{00000000-0010-0000-0100-000005000000}" name="Product Name" dataDxfId="1">
      <calculatedColumnFormula>VLOOKUP(A2,Products!A:C,3,FALSE)</calculatedColumnFormula>
    </tableColumn>
    <tableColumn id="3" xr3:uid="{00000000-0010-0000-0100-000003000000}" name="Description"/>
    <tableColumn id="4" xr3:uid="{00000000-0010-0000-0100-000004000000}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16" totalsRowShown="0" headerRowDxfId="0">
  <autoFilter ref="A1:B16" xr:uid="{00000000-0009-0000-0100-000003000000}"/>
  <tableColumns count="2">
    <tableColumn id="1" xr3:uid="{00000000-0010-0000-0200-000001000000}" name="Vendor Code"/>
    <tableColumn id="2" xr3:uid="{00000000-0010-0000-0200-000002000000}" name="Vendor Nam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K37" totalsRowShown="0" headerRowDxfId="14">
  <autoFilter ref="A1:K37" xr:uid="{00000000-0009-0000-0100-000004000000}"/>
  <tableColumns count="11">
    <tableColumn id="1" xr3:uid="{00000000-0010-0000-0300-000001000000}" name="Product Code"/>
    <tableColumn id="2" xr3:uid="{00000000-0010-0000-0300-000002000000}" name="Variant Code"/>
    <tableColumn id="3" xr3:uid="{00000000-0010-0000-0300-000003000000}" name="Vendor Code"/>
    <tableColumn id="8" xr3:uid="{00000000-0010-0000-0300-000008000000}" name="Year"/>
    <tableColumn id="11" xr3:uid="{00000000-0010-0000-0300-00000B000000}" name="Product Name">
      <calculatedColumnFormula>VLOOKUP(A2, Products!$A:$C, 3, FALSE)</calculatedColumnFormula>
    </tableColumn>
    <tableColumn id="12" xr3:uid="{00000000-0010-0000-0300-00000C000000}" name="Product Description" dataDxfId="13">
      <calculatedColumnFormula>IFERROR(VLOOKUP(Table4[[#This Row],[Variant Code]],Variants!B:D,2,FALSE), "-")</calculatedColumnFormula>
    </tableColumn>
    <tableColumn id="4" xr3:uid="{00000000-0010-0000-0300-000004000000}" name="Price" dataDxfId="12"/>
    <tableColumn id="6" xr3:uid="{00000000-0010-0000-0300-000006000000}" name="Qty"/>
    <tableColumn id="7" xr3:uid="{00000000-0010-0000-0300-000007000000}" name="Qty Range"/>
    <tableColumn id="13" xr3:uid="{00000000-0010-0000-0300-00000D000000}" name="Vendor Name">
      <calculatedColumnFormula>VLOOKUP(C2, Vendors!$A:$B, 2, FALSE)</calculatedColumnFormula>
    </tableColumn>
    <tableColumn id="14" xr3:uid="{00000000-0010-0000-0300-00000E000000}" name="Not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7" sqref="E37"/>
    </sheetView>
  </sheetViews>
  <sheetFormatPr baseColWidth="10" defaultColWidth="8.83203125" defaultRowHeight="15" x14ac:dyDescent="0.2"/>
  <cols>
    <col min="1" max="1" width="13.33203125" customWidth="1"/>
  </cols>
  <sheetData>
    <row r="1" spans="1:1" ht="21" customHeight="1" x14ac:dyDescent="0.25">
      <c r="A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141" zoomScaleNormal="150" workbookViewId="0">
      <selection activeCell="A21" sqref="A21"/>
    </sheetView>
  </sheetViews>
  <sheetFormatPr baseColWidth="10" defaultColWidth="8.83203125" defaultRowHeight="15" x14ac:dyDescent="0.2"/>
  <cols>
    <col min="1" max="1" width="14" customWidth="1"/>
    <col min="2" max="2" width="11.6640625" bestFit="1" customWidth="1"/>
    <col min="3" max="3" width="25.6640625" bestFit="1" customWidth="1"/>
    <col min="4" max="4" width="14.5" bestFit="1" customWidth="1"/>
    <col min="5" max="5" width="13" bestFit="1" customWidth="1"/>
    <col min="6" max="6" width="21.33203125" bestFit="1" customWidth="1"/>
    <col min="7" max="7" width="16.33203125" customWidth="1"/>
  </cols>
  <sheetData>
    <row r="1" spans="1:7" x14ac:dyDescent="0.2">
      <c r="A1" s="5" t="s">
        <v>0</v>
      </c>
      <c r="B1" s="5" t="s">
        <v>74</v>
      </c>
      <c r="C1" s="5" t="s">
        <v>4</v>
      </c>
      <c r="D1" s="5" t="s">
        <v>75</v>
      </c>
      <c r="E1" s="5" t="s">
        <v>76</v>
      </c>
      <c r="F1" s="6" t="s">
        <v>77</v>
      </c>
      <c r="G1" s="6" t="s">
        <v>78</v>
      </c>
    </row>
    <row r="2" spans="1:7" x14ac:dyDescent="0.2">
      <c r="A2" s="7" t="s">
        <v>11</v>
      </c>
      <c r="B2" s="7" t="s">
        <v>79</v>
      </c>
      <c r="C2" s="7" t="s">
        <v>80</v>
      </c>
      <c r="D2" s="7" t="s">
        <v>81</v>
      </c>
      <c r="E2" s="7" t="s">
        <v>82</v>
      </c>
      <c r="F2" s="7"/>
      <c r="G2" s="7"/>
    </row>
    <row r="3" spans="1:7" x14ac:dyDescent="0.2">
      <c r="A3" s="7" t="s">
        <v>21</v>
      </c>
      <c r="B3" s="7" t="s">
        <v>79</v>
      </c>
      <c r="C3" s="7" t="s">
        <v>83</v>
      </c>
      <c r="D3" s="7" t="s">
        <v>81</v>
      </c>
      <c r="E3" s="7" t="s">
        <v>84</v>
      </c>
      <c r="F3" s="7"/>
      <c r="G3" s="7"/>
    </row>
    <row r="4" spans="1:7" x14ac:dyDescent="0.2">
      <c r="A4" s="7" t="s">
        <v>27</v>
      </c>
      <c r="B4" s="7" t="s">
        <v>79</v>
      </c>
      <c r="C4" s="7" t="s">
        <v>85</v>
      </c>
      <c r="D4" s="7" t="s">
        <v>81</v>
      </c>
      <c r="E4" s="7" t="s">
        <v>82</v>
      </c>
      <c r="F4" s="7"/>
      <c r="G4" s="7"/>
    </row>
    <row r="5" spans="1:7" x14ac:dyDescent="0.2">
      <c r="A5" s="7" t="s">
        <v>86</v>
      </c>
      <c r="B5" s="7" t="s">
        <v>79</v>
      </c>
      <c r="C5" s="7" t="s">
        <v>87</v>
      </c>
      <c r="D5" s="7" t="s">
        <v>81</v>
      </c>
      <c r="E5" s="7" t="s">
        <v>84</v>
      </c>
      <c r="F5" s="7"/>
      <c r="G5" s="7"/>
    </row>
    <row r="6" spans="1:7" x14ac:dyDescent="0.2">
      <c r="A6" s="7" t="s">
        <v>88</v>
      </c>
      <c r="B6" s="7" t="s">
        <v>79</v>
      </c>
      <c r="C6" s="7" t="s">
        <v>89</v>
      </c>
      <c r="D6" s="7" t="s">
        <v>81</v>
      </c>
      <c r="E6" s="7" t="s">
        <v>84</v>
      </c>
      <c r="F6" s="7"/>
      <c r="G6" s="7"/>
    </row>
    <row r="7" spans="1:7" x14ac:dyDescent="0.2">
      <c r="A7" s="7" t="s">
        <v>30</v>
      </c>
      <c r="B7" s="7" t="s">
        <v>90</v>
      </c>
      <c r="C7" s="7" t="s">
        <v>91</v>
      </c>
      <c r="D7" s="7" t="s">
        <v>81</v>
      </c>
      <c r="E7" s="7" t="s">
        <v>82</v>
      </c>
      <c r="F7" s="7"/>
      <c r="G7" s="7"/>
    </row>
    <row r="8" spans="1:7" x14ac:dyDescent="0.2">
      <c r="A8" s="7" t="s">
        <v>35</v>
      </c>
      <c r="B8" s="7" t="s">
        <v>90</v>
      </c>
      <c r="C8" s="7" t="s">
        <v>92</v>
      </c>
      <c r="D8" s="7" t="s">
        <v>81</v>
      </c>
      <c r="E8" s="7" t="s">
        <v>82</v>
      </c>
      <c r="F8" s="7"/>
      <c r="G8" s="7"/>
    </row>
    <row r="9" spans="1:7" x14ac:dyDescent="0.2">
      <c r="A9" s="7" t="s">
        <v>41</v>
      </c>
      <c r="B9" s="7" t="s">
        <v>90</v>
      </c>
      <c r="C9" s="7" t="s">
        <v>93</v>
      </c>
      <c r="D9" s="7" t="s">
        <v>81</v>
      </c>
      <c r="E9" s="7" t="s">
        <v>84</v>
      </c>
      <c r="F9" s="7"/>
      <c r="G9" s="7"/>
    </row>
    <row r="10" spans="1:7" x14ac:dyDescent="0.2">
      <c r="A10" s="7" t="s">
        <v>94</v>
      </c>
      <c r="B10" s="7" t="s">
        <v>90</v>
      </c>
      <c r="C10" s="7" t="s">
        <v>95</v>
      </c>
      <c r="D10" s="7" t="s">
        <v>81</v>
      </c>
      <c r="E10" s="7" t="s">
        <v>84</v>
      </c>
      <c r="F10" s="7"/>
      <c r="G10" s="7"/>
    </row>
    <row r="11" spans="1:7" x14ac:dyDescent="0.2">
      <c r="A11" s="7" t="s">
        <v>96</v>
      </c>
      <c r="B11" s="7" t="s">
        <v>90</v>
      </c>
      <c r="C11" s="7" t="s">
        <v>97</v>
      </c>
      <c r="D11" s="7" t="s">
        <v>81</v>
      </c>
      <c r="E11" s="7" t="s">
        <v>84</v>
      </c>
      <c r="F11" s="7"/>
      <c r="G11" s="7"/>
    </row>
    <row r="12" spans="1:7" x14ac:dyDescent="0.2">
      <c r="A12" s="7" t="s">
        <v>43</v>
      </c>
      <c r="B12" s="7" t="s">
        <v>90</v>
      </c>
      <c r="C12" s="7" t="s">
        <v>98</v>
      </c>
      <c r="D12" s="7" t="s">
        <v>81</v>
      </c>
      <c r="E12" s="7" t="s">
        <v>82</v>
      </c>
      <c r="F12" s="7"/>
      <c r="G12" s="7"/>
    </row>
    <row r="13" spans="1:7" x14ac:dyDescent="0.2">
      <c r="A13" s="7" t="s">
        <v>48</v>
      </c>
      <c r="B13" s="7" t="s">
        <v>99</v>
      </c>
      <c r="C13" s="7" t="s">
        <v>100</v>
      </c>
      <c r="D13" s="7" t="s">
        <v>81</v>
      </c>
      <c r="E13" s="7" t="s">
        <v>82</v>
      </c>
      <c r="F13" s="7"/>
      <c r="G13" s="7"/>
    </row>
    <row r="14" spans="1:7" x14ac:dyDescent="0.2">
      <c r="A14" s="7" t="s">
        <v>56</v>
      </c>
      <c r="B14" s="7" t="s">
        <v>99</v>
      </c>
      <c r="C14" s="7" t="s">
        <v>101</v>
      </c>
      <c r="D14" s="7" t="s">
        <v>81</v>
      </c>
      <c r="E14" s="7" t="s">
        <v>82</v>
      </c>
      <c r="F14" s="7"/>
      <c r="G14" s="7"/>
    </row>
    <row r="15" spans="1:7" x14ac:dyDescent="0.2">
      <c r="A15" s="7" t="s">
        <v>102</v>
      </c>
      <c r="B15" s="7" t="s">
        <v>99</v>
      </c>
      <c r="C15" s="7" t="s">
        <v>103</v>
      </c>
      <c r="D15" s="7" t="s">
        <v>81</v>
      </c>
      <c r="E15" s="7" t="s">
        <v>84</v>
      </c>
      <c r="F15" s="7"/>
      <c r="G15" s="7"/>
    </row>
    <row r="16" spans="1:7" x14ac:dyDescent="0.2">
      <c r="A16" s="7" t="s">
        <v>61</v>
      </c>
      <c r="B16" s="7" t="s">
        <v>99</v>
      </c>
      <c r="C16" s="7" t="s">
        <v>104</v>
      </c>
      <c r="D16" s="7" t="s">
        <v>81</v>
      </c>
      <c r="E16" s="7" t="s">
        <v>82</v>
      </c>
      <c r="F16" s="7"/>
      <c r="G16" s="7"/>
    </row>
    <row r="17" spans="1:7" x14ac:dyDescent="0.2">
      <c r="A17" s="7" t="s">
        <v>66</v>
      </c>
      <c r="B17" s="7" t="s">
        <v>105</v>
      </c>
      <c r="C17" s="7" t="s">
        <v>106</v>
      </c>
      <c r="D17" s="7" t="s">
        <v>81</v>
      </c>
      <c r="E17" s="7" t="s">
        <v>82</v>
      </c>
      <c r="F17" s="7"/>
      <c r="G17" s="7"/>
    </row>
    <row r="18" spans="1:7" x14ac:dyDescent="0.2">
      <c r="A18" s="7" t="s">
        <v>107</v>
      </c>
      <c r="B18" s="7" t="s">
        <v>105</v>
      </c>
      <c r="C18" s="7" t="s">
        <v>108</v>
      </c>
      <c r="D18" s="7" t="s">
        <v>81</v>
      </c>
      <c r="E18" s="7" t="s">
        <v>84</v>
      </c>
      <c r="F18" s="7"/>
      <c r="G18" s="7"/>
    </row>
    <row r="19" spans="1:7" x14ac:dyDescent="0.2">
      <c r="A19" s="7" t="s">
        <v>70</v>
      </c>
      <c r="B19" s="7" t="s">
        <v>105</v>
      </c>
      <c r="C19" s="7" t="s">
        <v>109</v>
      </c>
      <c r="D19" s="7" t="s">
        <v>81</v>
      </c>
      <c r="E19" s="7" t="s">
        <v>82</v>
      </c>
      <c r="F19" s="7"/>
      <c r="G19" s="7"/>
    </row>
    <row r="20" spans="1:7" x14ac:dyDescent="0.2">
      <c r="A20" s="7" t="s">
        <v>110</v>
      </c>
      <c r="B20" s="7" t="s">
        <v>111</v>
      </c>
      <c r="C20" s="7" t="s">
        <v>112</v>
      </c>
      <c r="D20" s="7" t="s">
        <v>113</v>
      </c>
      <c r="E20" s="7" t="b">
        <v>0</v>
      </c>
      <c r="F20" s="7"/>
      <c r="G20" s="7" t="s">
        <v>114</v>
      </c>
    </row>
    <row r="21" spans="1:7" x14ac:dyDescent="0.2">
      <c r="A21" s="7" t="s">
        <v>115</v>
      </c>
      <c r="B21" s="7" t="s">
        <v>111</v>
      </c>
      <c r="C21" s="7" t="s">
        <v>116</v>
      </c>
      <c r="D21" s="7" t="s">
        <v>113</v>
      </c>
      <c r="E21" s="7" t="b">
        <v>0</v>
      </c>
      <c r="F21" s="7"/>
      <c r="G21" s="7"/>
    </row>
  </sheetData>
  <dataValidations count="3">
    <dataValidation type="list" allowBlank="1" showInputMessage="1" showErrorMessage="1" sqref="E2:E21" xr:uid="{00000000-0002-0000-0100-000000000000}">
      <formula1>"TRUE,FALSE"</formula1>
    </dataValidation>
    <dataValidation type="list" allowBlank="1" showInputMessage="1" showErrorMessage="1" sqref="B2:B21" xr:uid="{00000000-0002-0000-0100-000001000000}">
      <formula1>"POSM(MKT),Printing(MKT),Garment,Premium,Printing-Rate"</formula1>
    </dataValidation>
    <dataValidation type="list" allowBlank="1" showInputMessage="1" showErrorMessage="1" sqref="F2:F21" xr:uid="{00000000-0002-0000-0100-000002000000}">
      <formula1>$A:$A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="114" workbookViewId="0">
      <selection activeCell="C33" sqref="C33"/>
    </sheetView>
  </sheetViews>
  <sheetFormatPr baseColWidth="10" defaultColWidth="8.83203125" defaultRowHeight="15" x14ac:dyDescent="0.2"/>
  <cols>
    <col min="1" max="1" width="16.6640625" bestFit="1" customWidth="1"/>
    <col min="2" max="2" width="16.1640625" bestFit="1" customWidth="1"/>
    <col min="3" max="3" width="18.5" bestFit="1" customWidth="1"/>
    <col min="4" max="4" width="36.5" bestFit="1" customWidth="1"/>
    <col min="5" max="5" width="28.1640625" customWidth="1"/>
  </cols>
  <sheetData>
    <row r="1" spans="1:5" x14ac:dyDescent="0.2">
      <c r="A1" s="2" t="s">
        <v>0</v>
      </c>
      <c r="B1" s="2" t="s">
        <v>1</v>
      </c>
      <c r="C1" s="10" t="s">
        <v>4</v>
      </c>
      <c r="D1" s="2" t="s">
        <v>117</v>
      </c>
      <c r="E1" s="2" t="s">
        <v>10</v>
      </c>
    </row>
    <row r="2" spans="1:5" x14ac:dyDescent="0.2">
      <c r="A2" t="s">
        <v>11</v>
      </c>
      <c r="B2" t="s">
        <v>12</v>
      </c>
      <c r="C2" t="str">
        <f>IFERROR(VLOOKUP(A2,Products!A:C,3,FALSE), "-")</f>
        <v>ร่มโค้ก</v>
      </c>
      <c r="D2" t="s">
        <v>118</v>
      </c>
    </row>
    <row r="3" spans="1:5" x14ac:dyDescent="0.2">
      <c r="A3" t="s">
        <v>11</v>
      </c>
      <c r="B3" t="s">
        <v>19</v>
      </c>
      <c r="C3" t="str">
        <f>IFERROR(VLOOKUP(A3,Products!A:C,3,FALSE), "-")</f>
        <v>ร่มโค้ก</v>
      </c>
      <c r="D3" t="s">
        <v>119</v>
      </c>
    </row>
    <row r="4" spans="1:5" x14ac:dyDescent="0.2">
      <c r="A4" t="s">
        <v>11</v>
      </c>
      <c r="B4" t="s">
        <v>20</v>
      </c>
      <c r="C4" t="str">
        <f>IFERROR(VLOOKUP(A4,Products!A:C,3,FALSE), "-")</f>
        <v>ร่มโค้ก</v>
      </c>
      <c r="D4" t="s">
        <v>120</v>
      </c>
    </row>
    <row r="5" spans="1:5" x14ac:dyDescent="0.2">
      <c r="A5" t="s">
        <v>11</v>
      </c>
      <c r="B5" t="s">
        <v>121</v>
      </c>
      <c r="C5" t="str">
        <f>IFERROR(VLOOKUP(A5,Products!A:C,3,FALSE), "-")</f>
        <v>ร่มโค้ก</v>
      </c>
      <c r="D5" t="s">
        <v>122</v>
      </c>
    </row>
    <row r="6" spans="1:5" x14ac:dyDescent="0.2">
      <c r="A6" t="s">
        <v>11</v>
      </c>
      <c r="B6" t="s">
        <v>123</v>
      </c>
      <c r="C6" t="str">
        <f>IFERROR(VLOOKUP(A6,Products!A:C,3,FALSE), "-")</f>
        <v>ร่มโค้ก</v>
      </c>
      <c r="D6" t="s">
        <v>124</v>
      </c>
    </row>
    <row r="7" spans="1:5" x14ac:dyDescent="0.2">
      <c r="A7" t="s">
        <v>11</v>
      </c>
      <c r="B7" t="s">
        <v>125</v>
      </c>
      <c r="C7" t="str">
        <f>IFERROR(VLOOKUP(A7,Products!A:C,3,FALSE), "-")</f>
        <v>ร่มโค้ก</v>
      </c>
      <c r="D7" t="s">
        <v>126</v>
      </c>
    </row>
    <row r="8" spans="1:5" x14ac:dyDescent="0.2">
      <c r="A8" t="s">
        <v>11</v>
      </c>
      <c r="B8" t="s">
        <v>127</v>
      </c>
      <c r="C8" t="str">
        <f>IFERROR(VLOOKUP(A8,Products!A:C,3,FALSE), "-")</f>
        <v>ร่มโค้ก</v>
      </c>
      <c r="D8" t="s">
        <v>128</v>
      </c>
    </row>
    <row r="9" spans="1:5" x14ac:dyDescent="0.2">
      <c r="A9" t="s">
        <v>11</v>
      </c>
      <c r="B9" t="s">
        <v>129</v>
      </c>
      <c r="C9" t="str">
        <f>IFERROR(VLOOKUP(A9,Products!A:C,3,FALSE), "-")</f>
        <v>ร่มโค้ก</v>
      </c>
      <c r="D9" t="s">
        <v>130</v>
      </c>
    </row>
    <row r="10" spans="1:5" x14ac:dyDescent="0.2">
      <c r="A10" t="s">
        <v>27</v>
      </c>
      <c r="B10" t="s">
        <v>28</v>
      </c>
      <c r="C10" t="str">
        <f>IFERROR(VLOOKUP(A10,Products!A:C,3,FALSE), "-")</f>
        <v>ผ้ากันเปื้อนโคคา-โคล่า</v>
      </c>
      <c r="D10" t="s">
        <v>131</v>
      </c>
    </row>
    <row r="11" spans="1:5" x14ac:dyDescent="0.2">
      <c r="A11" t="s">
        <v>27</v>
      </c>
      <c r="B11" t="s">
        <v>29</v>
      </c>
      <c r="C11" t="str">
        <f>IFERROR(VLOOKUP(A11,Products!A:C,3,FALSE), "-")</f>
        <v>ผ้ากันเปื้อนโคคา-โคล่า</v>
      </c>
      <c r="D11" t="s">
        <v>132</v>
      </c>
    </row>
    <row r="12" spans="1:5" x14ac:dyDescent="0.2">
      <c r="A12" t="s">
        <v>30</v>
      </c>
      <c r="B12" t="s">
        <v>31</v>
      </c>
      <c r="C12" t="str">
        <f>IFERROR(VLOOKUP(A12,Products!A:C,3,FALSE), "-")</f>
        <v>Mega Rack</v>
      </c>
      <c r="D12" t="s">
        <v>133</v>
      </c>
    </row>
    <row r="13" spans="1:5" x14ac:dyDescent="0.2">
      <c r="A13" t="s">
        <v>30</v>
      </c>
      <c r="B13" t="s">
        <v>34</v>
      </c>
      <c r="C13" t="str">
        <f>IFERROR(VLOOKUP(A13,Products!A:C,3,FALSE), "-")</f>
        <v>Mega Rack</v>
      </c>
      <c r="D13" t="s">
        <v>134</v>
      </c>
    </row>
    <row r="14" spans="1:5" x14ac:dyDescent="0.2">
      <c r="A14" t="s">
        <v>35</v>
      </c>
      <c r="B14" t="s">
        <v>36</v>
      </c>
      <c r="C14" t="str">
        <f>IFERROR(VLOOKUP(A14,Products!A:C,3,FALSE), "-")</f>
        <v>PP Board</v>
      </c>
      <c r="D14" t="s">
        <v>135</v>
      </c>
    </row>
    <row r="15" spans="1:5" x14ac:dyDescent="0.2">
      <c r="A15" t="s">
        <v>35</v>
      </c>
      <c r="B15" t="s">
        <v>38</v>
      </c>
      <c r="C15" t="str">
        <f>IFERROR(VLOOKUP(A15,Products!A:C,3,FALSE), "-")</f>
        <v>PP Board</v>
      </c>
      <c r="D15" t="s">
        <v>136</v>
      </c>
    </row>
    <row r="16" spans="1:5" x14ac:dyDescent="0.2">
      <c r="A16" t="s">
        <v>35</v>
      </c>
      <c r="B16" t="s">
        <v>40</v>
      </c>
      <c r="C16" t="str">
        <f>IFERROR(VLOOKUP(A16,Products!A:C,3,FALSE), "-")</f>
        <v>PP Board</v>
      </c>
      <c r="D16" t="s">
        <v>137</v>
      </c>
    </row>
    <row r="17" spans="1:4" x14ac:dyDescent="0.2">
      <c r="A17" t="s">
        <v>43</v>
      </c>
      <c r="B17" t="s">
        <v>44</v>
      </c>
      <c r="C17" t="str">
        <f>IFERROR(VLOOKUP(A17,Products!A:C,3,FALSE), "-")</f>
        <v>แผ่นริจิ-โค้ก</v>
      </c>
      <c r="D17" t="s">
        <v>138</v>
      </c>
    </row>
    <row r="18" spans="1:4" x14ac:dyDescent="0.2">
      <c r="A18" t="s">
        <v>43</v>
      </c>
      <c r="B18" t="s">
        <v>47</v>
      </c>
      <c r="C18" t="str">
        <f>IFERROR(VLOOKUP(A18,Products!A:C,3,FALSE), "-")</f>
        <v>แผ่นริจิ-โค้ก</v>
      </c>
      <c r="D18" t="s">
        <v>139</v>
      </c>
    </row>
    <row r="19" spans="1:4" x14ac:dyDescent="0.2">
      <c r="A19" t="s">
        <v>48</v>
      </c>
      <c r="B19" t="s">
        <v>49</v>
      </c>
      <c r="C19" t="str">
        <f>IFERROR(VLOOKUP(A19,Products!A:C,3,FALSE), "-")</f>
        <v>เสื้อยืด</v>
      </c>
      <c r="D19" t="s">
        <v>140</v>
      </c>
    </row>
    <row r="20" spans="1:4" x14ac:dyDescent="0.2">
      <c r="A20" t="s">
        <v>48</v>
      </c>
      <c r="B20" t="s">
        <v>52</v>
      </c>
      <c r="C20" t="str">
        <f>IFERROR(VLOOKUP(A20,Products!A:C,3,FALSE), "-")</f>
        <v>เสื้อยืด</v>
      </c>
      <c r="D20" t="s">
        <v>141</v>
      </c>
    </row>
    <row r="21" spans="1:4" x14ac:dyDescent="0.2">
      <c r="A21" t="s">
        <v>48</v>
      </c>
      <c r="B21" t="s">
        <v>53</v>
      </c>
      <c r="C21" t="str">
        <f>IFERROR(VLOOKUP(A21,Products!A:C,3,FALSE), "-")</f>
        <v>เสื้อยืด</v>
      </c>
      <c r="D21" t="s">
        <v>142</v>
      </c>
    </row>
    <row r="22" spans="1:4" x14ac:dyDescent="0.2">
      <c r="A22" t="s">
        <v>48</v>
      </c>
      <c r="B22" t="s">
        <v>54</v>
      </c>
      <c r="C22" t="str">
        <f>IFERROR(VLOOKUP(A22,Products!A:C,3,FALSE), "-")</f>
        <v>เสื้อยืด</v>
      </c>
      <c r="D22" t="s">
        <v>143</v>
      </c>
    </row>
    <row r="23" spans="1:4" x14ac:dyDescent="0.2">
      <c r="A23" t="s">
        <v>56</v>
      </c>
      <c r="B23" t="s">
        <v>57</v>
      </c>
      <c r="C23" t="str">
        <f>IFERROR(VLOOKUP(A23,Products!A:C,3,FALSE), "-")</f>
        <v>เสื้อโปโล TC</v>
      </c>
      <c r="D23" t="s">
        <v>144</v>
      </c>
    </row>
    <row r="24" spans="1:4" x14ac:dyDescent="0.2">
      <c r="A24" t="s">
        <v>56</v>
      </c>
      <c r="B24" t="s">
        <v>145</v>
      </c>
      <c r="C24" t="str">
        <f>IFERROR(VLOOKUP(A24,Products!A:C,3,FALSE), "-")</f>
        <v>เสื้อโปโล TC</v>
      </c>
      <c r="D24" t="s">
        <v>146</v>
      </c>
    </row>
    <row r="25" spans="1:4" x14ac:dyDescent="0.2">
      <c r="A25" t="s">
        <v>56</v>
      </c>
      <c r="B25" t="s">
        <v>59</v>
      </c>
      <c r="C25" t="str">
        <f>IFERROR(VLOOKUP(A25,Products!A:C,3,FALSE), "-")</f>
        <v>เสื้อโปโล TC</v>
      </c>
      <c r="D25" t="s">
        <v>147</v>
      </c>
    </row>
    <row r="26" spans="1:4" x14ac:dyDescent="0.2">
      <c r="A26" t="s">
        <v>56</v>
      </c>
      <c r="B26" t="s">
        <v>148</v>
      </c>
      <c r="C26" t="str">
        <f>IFERROR(VLOOKUP(A26,Products!A:C,3,FALSE), "-")</f>
        <v>เสื้อโปโล TC</v>
      </c>
      <c r="D26" t="s">
        <v>149</v>
      </c>
    </row>
    <row r="27" spans="1:4" x14ac:dyDescent="0.2">
      <c r="A27" t="s">
        <v>61</v>
      </c>
      <c r="B27" t="s">
        <v>62</v>
      </c>
      <c r="C27" t="str">
        <f>IFERROR(VLOOKUP(A27,Products!A:C,3,FALSE), "-")</f>
        <v>สกรีน</v>
      </c>
      <c r="D27" t="s">
        <v>150</v>
      </c>
    </row>
    <row r="28" spans="1:4" x14ac:dyDescent="0.2">
      <c r="A28" t="s">
        <v>61</v>
      </c>
      <c r="B28" t="s">
        <v>64</v>
      </c>
      <c r="C28" t="str">
        <f>IFERROR(VLOOKUP(A28,Products!A:C,3,FALSE), "-")</f>
        <v>สกรีน</v>
      </c>
      <c r="D28" t="s">
        <v>151</v>
      </c>
    </row>
    <row r="29" spans="1:4" x14ac:dyDescent="0.2">
      <c r="A29" t="s">
        <v>61</v>
      </c>
      <c r="B29" t="s">
        <v>152</v>
      </c>
      <c r="C29" t="str">
        <f>IFERROR(VLOOKUP(A29,Products!A:C,3,FALSE), "-")</f>
        <v>สกรีน</v>
      </c>
      <c r="D29" t="s">
        <v>153</v>
      </c>
    </row>
    <row r="30" spans="1:4" x14ac:dyDescent="0.2">
      <c r="A30" t="s">
        <v>61</v>
      </c>
      <c r="B30" t="s">
        <v>65</v>
      </c>
      <c r="C30" t="str">
        <f>IFERROR(VLOOKUP(A30,Products!A:C,3,FALSE), "-")</f>
        <v>สกรีน</v>
      </c>
      <c r="D30" t="s">
        <v>154</v>
      </c>
    </row>
    <row r="31" spans="1:4" x14ac:dyDescent="0.2">
      <c r="A31" t="s">
        <v>70</v>
      </c>
      <c r="B31" t="s">
        <v>71</v>
      </c>
      <c r="C31" t="str">
        <f>IFERROR(VLOOKUP(A31,Products!A:C,3,FALSE), "-")</f>
        <v>Bean Bag</v>
      </c>
      <c r="D31" t="s">
        <v>155</v>
      </c>
    </row>
    <row r="32" spans="1:4" x14ac:dyDescent="0.2">
      <c r="A32" t="s">
        <v>70</v>
      </c>
      <c r="B32" t="s">
        <v>73</v>
      </c>
      <c r="C32" t="str">
        <f>IFERROR(VLOOKUP(A32,Products!A:C,3,FALSE), "-")</f>
        <v>Bean Bag</v>
      </c>
      <c r="D32" t="s">
        <v>156</v>
      </c>
    </row>
    <row r="33" spans="1:4" x14ac:dyDescent="0.2">
      <c r="A33" t="s">
        <v>66</v>
      </c>
      <c r="B33" t="s">
        <v>67</v>
      </c>
      <c r="C33" t="str">
        <f>IFERROR(VLOOKUP(A33,Products!A:C,3,FALSE), "-")</f>
        <v>แก้วกระดาษ</v>
      </c>
      <c r="D33" t="s">
        <v>157</v>
      </c>
    </row>
    <row r="34" spans="1:4" x14ac:dyDescent="0.2">
      <c r="A34" t="s">
        <v>66</v>
      </c>
      <c r="B34" t="s">
        <v>69</v>
      </c>
      <c r="C34" t="str">
        <f>IFERROR(VLOOKUP(A34,Products!A:C,3,FALSE), "-")</f>
        <v>แก้วกระดาษ</v>
      </c>
      <c r="D34" t="s">
        <v>158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16.33203125" bestFit="1" customWidth="1"/>
    <col min="2" max="2" width="16.83203125" bestFit="1" customWidth="1"/>
  </cols>
  <sheetData>
    <row r="1" spans="1:2" x14ac:dyDescent="0.2">
      <c r="A1" s="3" t="s">
        <v>2</v>
      </c>
      <c r="B1" s="3" t="s">
        <v>9</v>
      </c>
    </row>
    <row r="2" spans="1:2" x14ac:dyDescent="0.2">
      <c r="A2" t="s">
        <v>13</v>
      </c>
      <c r="B2" t="s">
        <v>159</v>
      </c>
    </row>
    <row r="3" spans="1:2" x14ac:dyDescent="0.2">
      <c r="A3" t="s">
        <v>15</v>
      </c>
      <c r="B3" t="s">
        <v>160</v>
      </c>
    </row>
    <row r="4" spans="1:2" x14ac:dyDescent="0.2">
      <c r="A4" t="s">
        <v>17</v>
      </c>
      <c r="B4" t="s">
        <v>161</v>
      </c>
    </row>
    <row r="5" spans="1:2" x14ac:dyDescent="0.2">
      <c r="A5" t="s">
        <v>23</v>
      </c>
      <c r="B5" t="s">
        <v>162</v>
      </c>
    </row>
    <row r="6" spans="1:2" x14ac:dyDescent="0.2">
      <c r="A6" t="s">
        <v>25</v>
      </c>
      <c r="B6" t="s">
        <v>163</v>
      </c>
    </row>
    <row r="7" spans="1:2" x14ac:dyDescent="0.2">
      <c r="A7" t="s">
        <v>37</v>
      </c>
      <c r="B7" t="s">
        <v>164</v>
      </c>
    </row>
    <row r="8" spans="1:2" x14ac:dyDescent="0.2">
      <c r="A8" t="s">
        <v>42</v>
      </c>
      <c r="B8" t="s">
        <v>165</v>
      </c>
    </row>
    <row r="9" spans="1:2" x14ac:dyDescent="0.2">
      <c r="A9" t="s">
        <v>45</v>
      </c>
      <c r="B9" t="s">
        <v>166</v>
      </c>
    </row>
    <row r="10" spans="1:2" x14ac:dyDescent="0.2">
      <c r="A10" t="s">
        <v>50</v>
      </c>
      <c r="B10" t="s">
        <v>167</v>
      </c>
    </row>
    <row r="11" spans="1:2" x14ac:dyDescent="0.2">
      <c r="A11" t="s">
        <v>58</v>
      </c>
      <c r="B11" t="s">
        <v>168</v>
      </c>
    </row>
    <row r="12" spans="1:2" x14ac:dyDescent="0.2">
      <c r="A12" t="s">
        <v>63</v>
      </c>
      <c r="B12" t="s">
        <v>169</v>
      </c>
    </row>
    <row r="13" spans="1:2" x14ac:dyDescent="0.2">
      <c r="A13" t="s">
        <v>68</v>
      </c>
      <c r="B13" t="s">
        <v>170</v>
      </c>
    </row>
    <row r="14" spans="1:2" x14ac:dyDescent="0.2">
      <c r="A14" t="s">
        <v>72</v>
      </c>
      <c r="B14" t="s">
        <v>171</v>
      </c>
    </row>
    <row r="15" spans="1:2" x14ac:dyDescent="0.2">
      <c r="A15" t="s">
        <v>32</v>
      </c>
      <c r="B15" t="s">
        <v>172</v>
      </c>
    </row>
    <row r="16" spans="1:2" x14ac:dyDescent="0.2">
      <c r="A16" t="s">
        <v>55</v>
      </c>
      <c r="B16" t="s">
        <v>173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16.6640625" bestFit="1" customWidth="1"/>
    <col min="2" max="2" width="16.1640625" bestFit="1" customWidth="1"/>
    <col min="3" max="3" width="16.33203125" bestFit="1" customWidth="1"/>
    <col min="4" max="4" width="9.6640625" bestFit="1" customWidth="1"/>
    <col min="5" max="5" width="18.33203125" bestFit="1" customWidth="1"/>
    <col min="6" max="6" width="33.83203125" bestFit="1" customWidth="1"/>
    <col min="7" max="7" width="12.1640625" bestFit="1" customWidth="1"/>
    <col min="8" max="8" width="9" bestFit="1" customWidth="1"/>
    <col min="9" max="9" width="14" bestFit="1" customWidth="1"/>
    <col min="10" max="10" width="16.83203125" bestFit="1" customWidth="1"/>
    <col min="11" max="11" width="10.6640625" bestFit="1" customWidth="1"/>
    <col min="12" max="12" width="12" customWidth="1"/>
    <col min="13" max="13" width="25" customWidth="1"/>
    <col min="14" max="14" width="30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2026</v>
      </c>
      <c r="E2" t="str">
        <f>IFERROR(VLOOKUP(A2, Products!$A:$C, 3, FALSE), "-")</f>
        <v>ร่มโค้ก</v>
      </c>
      <c r="F2" t="str">
        <f>IFERROR(VLOOKUP(B2,Variants!B:D,2,FALSE), "-")</f>
        <v>ร่มโค้ก</v>
      </c>
      <c r="G2" s="8">
        <v>523</v>
      </c>
      <c r="I2" t="s">
        <v>14</v>
      </c>
      <c r="J2" t="str">
        <f>IFERROR(VLOOKUP(C2, Vendors!A:B, 2, FALSE), "-")</f>
        <v>Vendor A</v>
      </c>
    </row>
    <row r="3" spans="1:11" x14ac:dyDescent="0.2">
      <c r="A3" t="s">
        <v>11</v>
      </c>
      <c r="B3" t="s">
        <v>12</v>
      </c>
      <c r="C3" t="s">
        <v>15</v>
      </c>
      <c r="D3">
        <v>2026</v>
      </c>
      <c r="E3" t="str">
        <f>IFERROR(VLOOKUP(A3, Products!$A:$C, 3, FALSE), "-")</f>
        <v>ร่มโค้ก</v>
      </c>
      <c r="F3" t="str">
        <f>IFERROR(VLOOKUP(B3,Variants!B:D,2,FALSE), "-")</f>
        <v>ร่มโค้ก</v>
      </c>
      <c r="G3" s="8">
        <v>565</v>
      </c>
      <c r="I3" t="s">
        <v>16</v>
      </c>
      <c r="J3" t="str">
        <f>IFERROR(VLOOKUP(C3, Vendors!A:B, 2, FALSE), "-")</f>
        <v>Vendor B</v>
      </c>
    </row>
    <row r="4" spans="1:11" x14ac:dyDescent="0.2">
      <c r="A4" t="s">
        <v>11</v>
      </c>
      <c r="B4" t="s">
        <v>12</v>
      </c>
      <c r="C4" t="s">
        <v>17</v>
      </c>
      <c r="D4">
        <v>2026</v>
      </c>
      <c r="E4" t="str">
        <f>IFERROR(VLOOKUP(A4, Products!$A:$C, 3, FALSE), "-")</f>
        <v>ร่มโค้ก</v>
      </c>
      <c r="F4" t="str">
        <f>IFERROR(VLOOKUP(B4,Variants!B:D,2,FALSE), "-")</f>
        <v>ร่มโค้ก</v>
      </c>
      <c r="G4" s="8">
        <v>480</v>
      </c>
      <c r="I4" t="s">
        <v>18</v>
      </c>
      <c r="J4" t="str">
        <f>IFERROR(VLOOKUP(C4, Vendors!A:B, 2, FALSE), "-")</f>
        <v>Vendor C</v>
      </c>
    </row>
    <row r="5" spans="1:11" x14ac:dyDescent="0.2">
      <c r="A5" t="s">
        <v>11</v>
      </c>
      <c r="B5" t="s">
        <v>19</v>
      </c>
      <c r="C5" t="s">
        <v>13</v>
      </c>
      <c r="D5">
        <v>2026</v>
      </c>
      <c r="E5" t="str">
        <f>IFERROR(VLOOKUP(A5, Products!$A:$C, 3, FALSE), "-")</f>
        <v>ร่มโค้ก</v>
      </c>
      <c r="F5" t="str">
        <f>IFERROR(VLOOKUP(B5,Variants!B:D,2,FALSE), "-")</f>
        <v>ร่มโค้ก</v>
      </c>
      <c r="G5" s="8">
        <v>528</v>
      </c>
      <c r="H5">
        <v>1</v>
      </c>
      <c r="J5" t="str">
        <f>IFERROR(VLOOKUP(C5, Vendors!A:B, 2, FALSE), "-")</f>
        <v>Vendor A</v>
      </c>
    </row>
    <row r="6" spans="1:11" x14ac:dyDescent="0.2">
      <c r="A6" t="s">
        <v>11</v>
      </c>
      <c r="B6" t="s">
        <v>20</v>
      </c>
      <c r="C6" t="s">
        <v>13</v>
      </c>
      <c r="D6">
        <v>2026</v>
      </c>
      <c r="E6" t="str">
        <f>IFERROR(VLOOKUP(A6, Products!$A:$C, 3, FALSE), "-")</f>
        <v>ร่มโค้ก</v>
      </c>
      <c r="F6" t="str">
        <f>IFERROR(VLOOKUP(B6,Variants!B:D,2,FALSE), "-")</f>
        <v>ร่มโค้ก</v>
      </c>
      <c r="G6" s="8">
        <v>523</v>
      </c>
      <c r="H6">
        <v>1</v>
      </c>
      <c r="J6" t="str">
        <f>IFERROR(VLOOKUP(C6, Vendors!A:B, 2, FALSE), "-")</f>
        <v>Vendor A</v>
      </c>
    </row>
    <row r="7" spans="1:11" x14ac:dyDescent="0.2">
      <c r="A7" t="s">
        <v>21</v>
      </c>
      <c r="C7" t="s">
        <v>17</v>
      </c>
      <c r="D7">
        <v>2026</v>
      </c>
      <c r="E7" t="str">
        <f>IFERROR(VLOOKUP(A7, Products!$A:$C, 3, FALSE), "-")</f>
        <v>กล่องทิชชู-โค้ก</v>
      </c>
      <c r="F7" t="str">
        <f>IFERROR(VLOOKUP(B7,Variants!B:D,2,FALSE), "-")</f>
        <v>-</v>
      </c>
      <c r="G7" s="8">
        <v>28.5</v>
      </c>
      <c r="I7" t="s">
        <v>22</v>
      </c>
      <c r="J7" t="str">
        <f>IFERROR(VLOOKUP(C7, Vendors!A:B, 2, FALSE), "-")</f>
        <v>Vendor C</v>
      </c>
    </row>
    <row r="8" spans="1:11" x14ac:dyDescent="0.2">
      <c r="A8" t="s">
        <v>21</v>
      </c>
      <c r="C8" t="s">
        <v>23</v>
      </c>
      <c r="D8">
        <v>2026</v>
      </c>
      <c r="E8" t="str">
        <f>IFERROR(VLOOKUP(A8, Products!$A:$C, 3, FALSE), "-")</f>
        <v>กล่องทิชชู-โค้ก</v>
      </c>
      <c r="F8" t="str">
        <f>IFERROR(VLOOKUP(B8,Variants!B:D,2,FALSE), "-")</f>
        <v>-</v>
      </c>
      <c r="G8" s="8">
        <v>30</v>
      </c>
      <c r="I8" t="s">
        <v>24</v>
      </c>
      <c r="J8" t="str">
        <f>IFERROR(VLOOKUP(C8, Vendors!A:B, 2, FALSE), "-")</f>
        <v>Vendor D</v>
      </c>
    </row>
    <row r="9" spans="1:11" x14ac:dyDescent="0.2">
      <c r="A9" t="s">
        <v>21</v>
      </c>
      <c r="C9" t="s">
        <v>25</v>
      </c>
      <c r="D9">
        <v>2026</v>
      </c>
      <c r="E9" t="str">
        <f>IFERROR(VLOOKUP(A9, Products!$A:$C, 3, FALSE), "-")</f>
        <v>กล่องทิชชู-โค้ก</v>
      </c>
      <c r="F9" t="str">
        <f>IFERROR(VLOOKUP(B9,Variants!B:D,2,FALSE), "-")</f>
        <v>-</v>
      </c>
      <c r="G9" s="8">
        <v>25</v>
      </c>
      <c r="I9" t="s">
        <v>26</v>
      </c>
      <c r="J9" t="str">
        <f>IFERROR(VLOOKUP(C9, Vendors!A:B, 2, FALSE), "-")</f>
        <v>Vendor E</v>
      </c>
    </row>
    <row r="10" spans="1:11" x14ac:dyDescent="0.2">
      <c r="A10" t="s">
        <v>27</v>
      </c>
      <c r="B10" t="s">
        <v>28</v>
      </c>
      <c r="C10" t="s">
        <v>25</v>
      </c>
      <c r="D10">
        <v>2026</v>
      </c>
      <c r="E10" t="str">
        <f>IFERROR(VLOOKUP(A10, Products!$A:$C, 3, FALSE), "-")</f>
        <v>ผ้ากันเปื้อนโคคา-โคล่า</v>
      </c>
      <c r="F10" t="str">
        <f>IFERROR(VLOOKUP(B10,Variants!B:D,2,FALSE), "-")</f>
        <v>ผ้ากันเปื้อนโคคา-โคล่า</v>
      </c>
      <c r="G10" s="8">
        <v>65</v>
      </c>
      <c r="H10">
        <v>1</v>
      </c>
      <c r="J10" t="str">
        <f>IFERROR(VLOOKUP(C10, Vendors!A:B, 2, FALSE), "-")</f>
        <v>Vendor E</v>
      </c>
    </row>
    <row r="11" spans="1:11" x14ac:dyDescent="0.2">
      <c r="A11" t="s">
        <v>27</v>
      </c>
      <c r="B11" t="s">
        <v>29</v>
      </c>
      <c r="C11" t="s">
        <v>25</v>
      </c>
      <c r="D11">
        <v>2026</v>
      </c>
      <c r="E11" t="str">
        <f>IFERROR(VLOOKUP(A11, Products!$A:$C, 3, FALSE), "-")</f>
        <v>ผ้ากันเปื้อนโคคา-โคล่า</v>
      </c>
      <c r="F11" t="str">
        <f>IFERROR(VLOOKUP(B11,Variants!B:D,2,FALSE), "-")</f>
        <v>ผ้ากันเปื้อนโคคา-โคล่า</v>
      </c>
      <c r="G11" s="8">
        <v>55</v>
      </c>
      <c r="H11">
        <v>1</v>
      </c>
      <c r="J11" t="str">
        <f>IFERROR(VLOOKUP(C11, Vendors!A:B, 2, FALSE), "-")</f>
        <v>Vendor E</v>
      </c>
    </row>
    <row r="12" spans="1:11" x14ac:dyDescent="0.2">
      <c r="A12" t="s">
        <v>30</v>
      </c>
      <c r="B12" t="s">
        <v>31</v>
      </c>
      <c r="C12" t="s">
        <v>32</v>
      </c>
      <c r="D12">
        <v>2026</v>
      </c>
      <c r="E12" t="str">
        <f>IFERROR(VLOOKUP(A12, Products!$A:$C, 3, FALSE), "-")</f>
        <v>Mega Rack</v>
      </c>
      <c r="F12" t="str">
        <f>IFERROR(VLOOKUP(B12,Variants!B:D,2,FALSE), "-")</f>
        <v>Mega Rack</v>
      </c>
      <c r="G12" s="8">
        <v>3500</v>
      </c>
      <c r="I12" t="s">
        <v>33</v>
      </c>
      <c r="J12" t="str">
        <f>IFERROR(VLOOKUP(C12, Vendors!A:B, 2, FALSE), "-")</f>
        <v>Vendor N</v>
      </c>
    </row>
    <row r="13" spans="1:11" x14ac:dyDescent="0.2">
      <c r="A13" t="s">
        <v>30</v>
      </c>
      <c r="B13" t="s">
        <v>34</v>
      </c>
      <c r="C13" t="s">
        <v>32</v>
      </c>
      <c r="D13">
        <v>2026</v>
      </c>
      <c r="E13" t="str">
        <f>IFERROR(VLOOKUP(A13, Products!$A:$C, 3, FALSE), "-")</f>
        <v>Mega Rack</v>
      </c>
      <c r="F13" t="str">
        <f>IFERROR(VLOOKUP(B13,Variants!B:D,2,FALSE), "-")</f>
        <v>Mega Rack</v>
      </c>
      <c r="G13" s="8">
        <v>3700</v>
      </c>
      <c r="H13">
        <v>1</v>
      </c>
      <c r="J13" t="str">
        <f>IFERROR(VLOOKUP(C13, Vendors!A:B, 2, FALSE), "-")</f>
        <v>Vendor N</v>
      </c>
    </row>
    <row r="14" spans="1:11" x14ac:dyDescent="0.2">
      <c r="A14" t="s">
        <v>35</v>
      </c>
      <c r="B14" t="s">
        <v>36</v>
      </c>
      <c r="C14" t="s">
        <v>37</v>
      </c>
      <c r="D14">
        <v>2026</v>
      </c>
      <c r="E14" t="str">
        <f>IFERROR(VLOOKUP(A14, Products!$A:$C, 3, FALSE), "-")</f>
        <v>PP Board</v>
      </c>
      <c r="F14" t="str">
        <f>IFERROR(VLOOKUP(B14,Variants!B:D,2,FALSE), "-")</f>
        <v>PP Board</v>
      </c>
      <c r="G14" s="8">
        <v>580</v>
      </c>
      <c r="H14">
        <v>1</v>
      </c>
      <c r="J14" t="str">
        <f>IFERROR(VLOOKUP(C14, Vendors!A:B, 2, FALSE), "-")</f>
        <v>Vendor F</v>
      </c>
    </row>
    <row r="15" spans="1:11" x14ac:dyDescent="0.2">
      <c r="A15" t="s">
        <v>35</v>
      </c>
      <c r="B15" t="s">
        <v>38</v>
      </c>
      <c r="C15" t="s">
        <v>37</v>
      </c>
      <c r="D15">
        <v>2026</v>
      </c>
      <c r="E15" t="str">
        <f>IFERROR(VLOOKUP(A15, Products!$A:$C, 3, FALSE), "-")</f>
        <v>PP Board</v>
      </c>
      <c r="F15" t="str">
        <f>IFERROR(VLOOKUP(B15,Variants!B:D,2,FALSE), "-")</f>
        <v>PP Board</v>
      </c>
      <c r="G15" s="8">
        <v>450</v>
      </c>
      <c r="I15" t="s">
        <v>39</v>
      </c>
      <c r="J15" t="str">
        <f>IFERROR(VLOOKUP(C15, Vendors!A:B, 2, FALSE), "-")</f>
        <v>Vendor F</v>
      </c>
    </row>
    <row r="16" spans="1:11" x14ac:dyDescent="0.2">
      <c r="A16" t="s">
        <v>35</v>
      </c>
      <c r="B16" t="s">
        <v>40</v>
      </c>
      <c r="C16" t="s">
        <v>37</v>
      </c>
      <c r="D16">
        <v>2026</v>
      </c>
      <c r="E16" t="str">
        <f>IFERROR(VLOOKUP(A16, Products!$A:$C, 3, FALSE), "-")</f>
        <v>PP Board</v>
      </c>
      <c r="F16" t="str">
        <f>IFERROR(VLOOKUP(B16,Variants!B:D,2,FALSE), "-")</f>
        <v>PP Board</v>
      </c>
      <c r="G16" s="8">
        <v>350</v>
      </c>
      <c r="H16">
        <v>1</v>
      </c>
      <c r="J16" t="str">
        <f>IFERROR(VLOOKUP(C16, Vendors!A:B, 2, FALSE), "-")</f>
        <v>Vendor F</v>
      </c>
    </row>
    <row r="17" spans="1:10" x14ac:dyDescent="0.2">
      <c r="A17" t="s">
        <v>41</v>
      </c>
      <c r="C17" t="s">
        <v>42</v>
      </c>
      <c r="D17">
        <v>2026</v>
      </c>
      <c r="E17" t="str">
        <f>IFERROR(VLOOKUP(A17, Products!$A:$C, 3, FALSE), "-")</f>
        <v>ป้ายรายการอาหารโค้ก</v>
      </c>
      <c r="F17" t="str">
        <f>IFERROR(VLOOKUP(B17,Variants!B:D,2,FALSE), "-")</f>
        <v>-</v>
      </c>
      <c r="G17" s="8">
        <v>350</v>
      </c>
      <c r="H17">
        <v>1</v>
      </c>
      <c r="J17" t="str">
        <f>IFERROR(VLOOKUP(C17, Vendors!A:B, 2, FALSE), "-")</f>
        <v>Vendor G</v>
      </c>
    </row>
    <row r="18" spans="1:10" x14ac:dyDescent="0.2">
      <c r="A18" t="s">
        <v>43</v>
      </c>
      <c r="B18" t="s">
        <v>44</v>
      </c>
      <c r="C18" t="s">
        <v>45</v>
      </c>
      <c r="D18">
        <v>2026</v>
      </c>
      <c r="E18" t="str">
        <f>IFERROR(VLOOKUP(A18, Products!$A:$C, 3, FALSE), "-")</f>
        <v>แผ่นริจิ-โค้ก</v>
      </c>
      <c r="F18" t="str">
        <f>IFERROR(VLOOKUP(B18,Variants!B:D,2,FALSE), "-")</f>
        <v>แผ่นริจิ-โค้ก</v>
      </c>
      <c r="G18" s="8">
        <v>45</v>
      </c>
      <c r="I18" t="s">
        <v>46</v>
      </c>
      <c r="J18" t="str">
        <f>IFERROR(VLOOKUP(C18, Vendors!A:B, 2, FALSE), "-")</f>
        <v>Vendor H</v>
      </c>
    </row>
    <row r="19" spans="1:10" x14ac:dyDescent="0.2">
      <c r="A19" t="s">
        <v>43</v>
      </c>
      <c r="B19" t="s">
        <v>47</v>
      </c>
      <c r="C19" t="s">
        <v>45</v>
      </c>
      <c r="D19">
        <v>2026</v>
      </c>
      <c r="E19" t="str">
        <f>IFERROR(VLOOKUP(A19, Products!$A:$C, 3, FALSE), "-")</f>
        <v>แผ่นริจิ-โค้ก</v>
      </c>
      <c r="F19" t="str">
        <f>IFERROR(VLOOKUP(B19,Variants!B:D,2,FALSE), "-")</f>
        <v>แผ่นริจิ-โค้ก</v>
      </c>
      <c r="G19" s="8">
        <v>60</v>
      </c>
      <c r="H19">
        <v>1</v>
      </c>
      <c r="J19" t="str">
        <f>IFERROR(VLOOKUP(C19, Vendors!A:B, 2, FALSE), "-")</f>
        <v>Vendor H</v>
      </c>
    </row>
    <row r="20" spans="1:10" x14ac:dyDescent="0.2">
      <c r="A20" t="s">
        <v>48</v>
      </c>
      <c r="B20" t="s">
        <v>49</v>
      </c>
      <c r="C20" t="s">
        <v>50</v>
      </c>
      <c r="D20">
        <v>2026</v>
      </c>
      <c r="E20" t="str">
        <f>IFERROR(VLOOKUP(A20, Products!$A:$C, 3, FALSE), "-")</f>
        <v>เสื้อยืด</v>
      </c>
      <c r="F20" t="str">
        <f>IFERROR(VLOOKUP(B20,Variants!B:D,2,FALSE), "-")</f>
        <v>เสื้อยืด</v>
      </c>
      <c r="G20" s="8">
        <v>90</v>
      </c>
      <c r="I20" t="s">
        <v>51</v>
      </c>
      <c r="J20" t="str">
        <f>IFERROR(VLOOKUP(C20, Vendors!A:B, 2, FALSE), "-")</f>
        <v>Vendor I</v>
      </c>
    </row>
    <row r="21" spans="1:10" x14ac:dyDescent="0.2">
      <c r="A21" t="s">
        <v>48</v>
      </c>
      <c r="B21" t="s">
        <v>52</v>
      </c>
      <c r="C21" t="s">
        <v>50</v>
      </c>
      <c r="D21">
        <v>2026</v>
      </c>
      <c r="E21" t="str">
        <f>IFERROR(VLOOKUP(A21, Products!$A:$C, 3, FALSE), "-")</f>
        <v>เสื้อยืด</v>
      </c>
      <c r="F21" t="str">
        <f>IFERROR(VLOOKUP(B21,Variants!B:D,2,FALSE), "-")</f>
        <v>เสื้อยืด</v>
      </c>
      <c r="G21" s="8">
        <v>95</v>
      </c>
      <c r="H21">
        <v>1</v>
      </c>
      <c r="J21" t="str">
        <f>IFERROR(VLOOKUP(C21, Vendors!A:B, 2, FALSE), "-")</f>
        <v>Vendor I</v>
      </c>
    </row>
    <row r="22" spans="1:10" x14ac:dyDescent="0.2">
      <c r="A22" t="s">
        <v>48</v>
      </c>
      <c r="B22" t="s">
        <v>53</v>
      </c>
      <c r="C22" t="s">
        <v>50</v>
      </c>
      <c r="D22">
        <v>2026</v>
      </c>
      <c r="E22" t="str">
        <f>IFERROR(VLOOKUP(A22, Products!$A:$C, 3, FALSE), "-")</f>
        <v>เสื้อยืด</v>
      </c>
      <c r="F22" t="str">
        <f>IFERROR(VLOOKUP(B22,Variants!B:D,2,FALSE), "-")</f>
        <v>เสื้อยืด</v>
      </c>
      <c r="G22" s="8">
        <v>100</v>
      </c>
      <c r="H22">
        <v>1</v>
      </c>
      <c r="J22" t="str">
        <f>IFERROR(VLOOKUP(C22, Vendors!A:B, 2, FALSE), "-")</f>
        <v>Vendor I</v>
      </c>
    </row>
    <row r="23" spans="1:10" x14ac:dyDescent="0.2">
      <c r="A23" t="s">
        <v>48</v>
      </c>
      <c r="B23" t="s">
        <v>54</v>
      </c>
      <c r="C23" t="s">
        <v>50</v>
      </c>
      <c r="D23">
        <v>2026</v>
      </c>
      <c r="E23" t="str">
        <f>IFERROR(VLOOKUP(A23, Products!$A:$C, 3, FALSE), "-")</f>
        <v>เสื้อยืด</v>
      </c>
      <c r="F23" t="str">
        <f>IFERROR(VLOOKUP(B23,Variants!B:D,2,FALSE), "-")</f>
        <v>เสื้อยืด</v>
      </c>
      <c r="G23" s="8">
        <v>110</v>
      </c>
      <c r="I23" t="s">
        <v>16</v>
      </c>
      <c r="J23" t="str">
        <f>IFERROR(VLOOKUP(C23, Vendors!A:B, 2, FALSE), "-")</f>
        <v>Vendor I</v>
      </c>
    </row>
    <row r="24" spans="1:10" x14ac:dyDescent="0.2">
      <c r="A24" t="s">
        <v>48</v>
      </c>
      <c r="B24" t="s">
        <v>49</v>
      </c>
      <c r="C24" t="s">
        <v>55</v>
      </c>
      <c r="D24">
        <v>2026</v>
      </c>
      <c r="E24" t="str">
        <f>IFERROR(VLOOKUP(A24, Products!$A:$C, 3, FALSE), "-")</f>
        <v>เสื้อยืด</v>
      </c>
      <c r="F24" t="str">
        <f>IFERROR(VLOOKUP(B24,Variants!B:D,2,FALSE), "-")</f>
        <v>เสื้อยืด</v>
      </c>
      <c r="G24" s="8">
        <v>75</v>
      </c>
      <c r="H24">
        <v>1</v>
      </c>
      <c r="J24" t="str">
        <f>IFERROR(VLOOKUP(C24, Vendors!A:B, 2, FALSE), "-")</f>
        <v>Vendor O</v>
      </c>
    </row>
    <row r="25" spans="1:10" x14ac:dyDescent="0.2">
      <c r="A25" t="s">
        <v>56</v>
      </c>
      <c r="B25" t="s">
        <v>57</v>
      </c>
      <c r="C25" t="s">
        <v>58</v>
      </c>
      <c r="D25">
        <v>2026</v>
      </c>
      <c r="E25" t="str">
        <f>IFERROR(VLOOKUP(A25, Products!$A:$C, 3, FALSE), "-")</f>
        <v>เสื้อโปโล TC</v>
      </c>
      <c r="F25" t="str">
        <f>IFERROR(VLOOKUP(B25,Variants!B:D,2,FALSE), "-")</f>
        <v>เสื้อโปโล TC</v>
      </c>
      <c r="G25" s="8">
        <v>120</v>
      </c>
      <c r="H25">
        <v>1</v>
      </c>
      <c r="J25" t="str">
        <f>IFERROR(VLOOKUP(C25, Vendors!A:B, 2, FALSE), "-")</f>
        <v>Vendor J</v>
      </c>
    </row>
    <row r="26" spans="1:10" x14ac:dyDescent="0.2">
      <c r="A26" t="s">
        <v>56</v>
      </c>
      <c r="B26" t="s">
        <v>59</v>
      </c>
      <c r="C26" t="s">
        <v>58</v>
      </c>
      <c r="D26">
        <v>2026</v>
      </c>
      <c r="E26" t="str">
        <f>IFERROR(VLOOKUP(A26, Products!$A:$C, 3, FALSE), "-")</f>
        <v>เสื้อโปโล TC</v>
      </c>
      <c r="F26" t="str">
        <f>IFERROR(VLOOKUP(B26,Variants!B:D,2,FALSE), "-")</f>
        <v>เสื้อโปโล TC</v>
      </c>
      <c r="G26" s="8">
        <v>130</v>
      </c>
      <c r="I26" t="s">
        <v>60</v>
      </c>
      <c r="J26" t="str">
        <f>IFERROR(VLOOKUP(C26, Vendors!A:B, 2, FALSE), "-")</f>
        <v>Vendor J</v>
      </c>
    </row>
    <row r="27" spans="1:10" x14ac:dyDescent="0.2">
      <c r="A27" t="s">
        <v>61</v>
      </c>
      <c r="B27" t="s">
        <v>62</v>
      </c>
      <c r="C27" t="s">
        <v>63</v>
      </c>
      <c r="D27">
        <v>2026</v>
      </c>
      <c r="E27" t="str">
        <f>IFERROR(VLOOKUP(A27, Products!$A:$C, 3, FALSE), "-")</f>
        <v>สกรีน</v>
      </c>
      <c r="F27" t="str">
        <f>IFERROR(VLOOKUP(B27,Variants!B:D,2,FALSE), "-")</f>
        <v>สกรีน</v>
      </c>
      <c r="G27" s="8">
        <v>25</v>
      </c>
      <c r="H27">
        <v>1</v>
      </c>
      <c r="J27" t="str">
        <f>IFERROR(VLOOKUP(C27, Vendors!A:B, 2, FALSE), "-")</f>
        <v>Vendor K</v>
      </c>
    </row>
    <row r="28" spans="1:10" x14ac:dyDescent="0.2">
      <c r="A28" t="s">
        <v>61</v>
      </c>
      <c r="B28" t="s">
        <v>64</v>
      </c>
      <c r="C28" t="s">
        <v>63</v>
      </c>
      <c r="D28">
        <v>2026</v>
      </c>
      <c r="E28" t="str">
        <f>IFERROR(VLOOKUP(A28, Products!$A:$C, 3, FALSE), "-")</f>
        <v>สกรีน</v>
      </c>
      <c r="F28" t="str">
        <f>IFERROR(VLOOKUP(B28,Variants!B:D,2,FALSE), "-")</f>
        <v>สกรีน</v>
      </c>
      <c r="G28" s="8">
        <v>30</v>
      </c>
      <c r="H28">
        <v>1</v>
      </c>
      <c r="J28" t="str">
        <f>IFERROR(VLOOKUP(C28, Vendors!A:B, 2, FALSE), "-")</f>
        <v>Vendor K</v>
      </c>
    </row>
    <row r="29" spans="1:10" x14ac:dyDescent="0.2">
      <c r="A29" t="s">
        <v>61</v>
      </c>
      <c r="B29" t="s">
        <v>65</v>
      </c>
      <c r="C29" t="s">
        <v>63</v>
      </c>
      <c r="D29">
        <v>2026</v>
      </c>
      <c r="E29" t="str">
        <f>IFERROR(VLOOKUP(A29, Products!$A:$C, 3, FALSE), "-")</f>
        <v>สกรีน</v>
      </c>
      <c r="F29" t="str">
        <f>IFERROR(VLOOKUP(B29,Variants!B:D,2,FALSE), "-")</f>
        <v>สกรีน</v>
      </c>
      <c r="G29" s="8">
        <v>40</v>
      </c>
      <c r="I29" t="s">
        <v>39</v>
      </c>
      <c r="J29" t="str">
        <f>IFERROR(VLOOKUP(C29, Vendors!A:B, 2, FALSE), "-")</f>
        <v>Vendor K</v>
      </c>
    </row>
    <row r="30" spans="1:10" x14ac:dyDescent="0.2">
      <c r="A30" t="s">
        <v>66</v>
      </c>
      <c r="B30" t="s">
        <v>67</v>
      </c>
      <c r="C30" t="s">
        <v>68</v>
      </c>
      <c r="D30">
        <v>2026</v>
      </c>
      <c r="E30" t="str">
        <f>IFERROR(VLOOKUP(A30, Products!$A:$C, 3, FALSE), "-")</f>
        <v>แก้วกระดาษ</v>
      </c>
      <c r="F30" t="str">
        <f>IFERROR(VLOOKUP(B30,Variants!B:D,2,FALSE), "-")</f>
        <v>แก้วกระดาษ</v>
      </c>
      <c r="G30" s="8">
        <v>1.53</v>
      </c>
      <c r="H30">
        <v>1</v>
      </c>
      <c r="J30" t="str">
        <f>IFERROR(VLOOKUP(C30, Vendors!A:B, 2, FALSE), "-")</f>
        <v>Vendor L</v>
      </c>
    </row>
    <row r="31" spans="1:10" x14ac:dyDescent="0.2">
      <c r="A31" t="s">
        <v>66</v>
      </c>
      <c r="B31" t="s">
        <v>69</v>
      </c>
      <c r="C31" t="s">
        <v>68</v>
      </c>
      <c r="D31">
        <v>2026</v>
      </c>
      <c r="E31" t="str">
        <f>IFERROR(VLOOKUP(A31, Products!$A:$C, 3, FALSE), "-")</f>
        <v>แก้วกระดาษ</v>
      </c>
      <c r="F31" t="str">
        <f>IFERROR(VLOOKUP(B31,Variants!B:D,2,FALSE), "-")</f>
        <v>แก้วกระดาษ</v>
      </c>
      <c r="G31" s="8">
        <v>3.94</v>
      </c>
      <c r="H31">
        <v>1</v>
      </c>
      <c r="J31" t="str">
        <f>IFERROR(VLOOKUP(C31, Vendors!A:B, 2, FALSE), "-")</f>
        <v>Vendor L</v>
      </c>
    </row>
    <row r="32" spans="1:10" x14ac:dyDescent="0.2">
      <c r="A32" t="s">
        <v>70</v>
      </c>
      <c r="B32" t="s">
        <v>71</v>
      </c>
      <c r="C32" t="s">
        <v>72</v>
      </c>
      <c r="D32">
        <v>2026</v>
      </c>
      <c r="E32" t="str">
        <f>IFERROR(VLOOKUP(A32, Products!$A:$C, 3, FALSE), "-")</f>
        <v>Bean Bag</v>
      </c>
      <c r="F32" t="str">
        <f>IFERROR(VLOOKUP(B32,Variants!B:D,2,FALSE), "-")</f>
        <v>Bean Bag</v>
      </c>
      <c r="G32" s="8">
        <v>850</v>
      </c>
      <c r="H32">
        <v>1</v>
      </c>
      <c r="J32" t="str">
        <f>IFERROR(VLOOKUP(C32, Vendors!A:B, 2, FALSE), "-")</f>
        <v>Vendor M</v>
      </c>
    </row>
    <row r="33" spans="1:10" x14ac:dyDescent="0.2">
      <c r="A33" t="s">
        <v>70</v>
      </c>
      <c r="B33" t="s">
        <v>73</v>
      </c>
      <c r="C33" t="s">
        <v>72</v>
      </c>
      <c r="D33">
        <v>2026</v>
      </c>
      <c r="E33" t="str">
        <f>IFERROR(VLOOKUP(A33, Products!$A:$C, 3, FALSE), "-")</f>
        <v>Bean Bag</v>
      </c>
      <c r="F33" t="str">
        <f>IFERROR(VLOOKUP(B33,Variants!B:D,2,FALSE), "-")</f>
        <v>Bean Bag</v>
      </c>
      <c r="G33" s="8">
        <v>800</v>
      </c>
      <c r="H33">
        <v>1</v>
      </c>
      <c r="J33" t="str">
        <f>IFERROR(VLOOKUP(C33, Vendors!A:B, 2, FALSE), "-")</f>
        <v>Vendor M</v>
      </c>
    </row>
    <row r="34" spans="1:10" x14ac:dyDescent="0.2">
      <c r="E34" t="str">
        <f>IFERROR(VLOOKUP(A34, Products!$A:$C, 3, FALSE), "-")</f>
        <v>-</v>
      </c>
      <c r="G34" s="8"/>
      <c r="J34" t="str">
        <f>IFERROR(VLOOKUP(C34, Vendors!A:B, 2, FALSE), "-")</f>
        <v>-</v>
      </c>
    </row>
    <row r="35" spans="1:10" x14ac:dyDescent="0.2">
      <c r="E35" t="str">
        <f>IFERROR(VLOOKUP(A35, Products!$A:$C, 3, FALSE), "-")</f>
        <v>-</v>
      </c>
      <c r="G35" s="8"/>
      <c r="J35" t="str">
        <f>IFERROR(VLOOKUP(C35, Vendors!A:B, 2, FALSE), "-")</f>
        <v>-</v>
      </c>
    </row>
    <row r="36" spans="1:10" x14ac:dyDescent="0.2">
      <c r="E36" t="str">
        <f>IFERROR(VLOOKUP(A36, Products!$A:$C, 3, FALSE), "-")</f>
        <v>-</v>
      </c>
      <c r="G36" s="8"/>
      <c r="J36" t="str">
        <f>IFERROR(VLOOKUP(C36, Vendors!A:B, 2, FALSE), "-")</f>
        <v>-</v>
      </c>
    </row>
    <row r="37" spans="1:10" x14ac:dyDescent="0.2">
      <c r="E37" t="str">
        <f>IFERROR(VLOOKUP(A37, Products!$A:$C, 3, FALSE), "-")</f>
        <v>-</v>
      </c>
      <c r="G37" s="8"/>
      <c r="J37" t="str">
        <f>IFERROR(VLOOKUP(C37, Vendors!A:B, 2, FALSE), "-")</f>
        <v>-</v>
      </c>
    </row>
  </sheetData>
  <dataValidations count="3">
    <dataValidation type="whole" showErrorMessage="1" errorTitle="Invalid Year" error="Year must be between 2024 and 2030" sqref="D2:D37" xr:uid="{00000000-0002-0000-0400-000003000000}">
      <formula1>2024</formula1>
      <formula2>2030</formula2>
    </dataValidation>
    <dataValidation type="decimal" operator="greaterThan" showErrorMessage="1" errorTitle="Invalid Price" error="Price must be greater than 0" sqref="G2:G37" xr:uid="{00000000-0002-0000-0400-000004000000}">
      <formula1>0</formula1>
    </dataValidation>
    <dataValidation type="whole" operator="greaterThanOrEqual" showErrorMessage="1" errorTitle="Invalid Quantity" error="Quantity must be at least 1" sqref="H2:H37" xr:uid="{00000000-0002-0000-0400-000005000000}">
      <formula1>1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Product Code" error="Please select a valid product code from the list" xr:uid="{00000000-0002-0000-0400-000000000000}">
          <x14:formula1>
            <xm:f>Products!$A$2:$A$100</xm:f>
          </x14:formula1>
          <xm:sqref>A2:A37</xm:sqref>
        </x14:dataValidation>
        <x14:dataValidation type="list" allowBlank="1" showErrorMessage="1" errorTitle="Invalid Variant Code" error="Please select a valid variant code from the list" xr:uid="{00000000-0002-0000-0400-000001000000}">
          <x14:formula1>
            <xm:f>Variants!$B$2:$B$100</xm:f>
          </x14:formula1>
          <xm:sqref>B2:B37</xm:sqref>
        </x14:dataValidation>
        <x14:dataValidation type="list" showErrorMessage="1" errorTitle="Invalid Vendor Code" error="Please select a valid vendor code from the list" xr:uid="{00000000-0002-0000-0400-000002000000}">
          <x14:formula1>
            <xm:f>Vendors!$A$2:$A$100</xm:f>
          </x14:formula1>
          <xm:sqref>C2:C37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Products</vt:lpstr>
      <vt:lpstr>Variants</vt:lpstr>
      <vt:lpstr>Vendors</vt:lpstr>
      <vt:lpstr>Vendor_Prices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Supakorn Emchananon</cp:lastModifiedBy>
  <dcterms:created xsi:type="dcterms:W3CDTF">2026-07-31T12:05:21Z</dcterms:created>
  <dcterms:modified xsi:type="dcterms:W3CDTF">2026-07-31T13:48:03Z</dcterms:modified>
</cp:coreProperties>
</file>